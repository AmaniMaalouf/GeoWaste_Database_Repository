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nioxfordnexus-my.sharepoint.com/personal/smit0228_ox_ac_uk/Documents/Papers/Dumpsites paper/Review/Final/"/>
    </mc:Choice>
  </mc:AlternateContent>
  <xr:revisionPtr revIDLastSave="86" documentId="13_ncr:1_{6B5D80B3-F138-48E9-8E2C-D0192B8D6E32}" xr6:coauthVersionLast="47" xr6:coauthVersionMax="47" xr10:uidLastSave="{55E1C7E4-BD0C-4AE0-9739-2A2869F73FAD}"/>
  <bookViews>
    <workbookView xWindow="-110" yWindow="-110" windowWidth="19420" windowHeight="10300" activeTab="1" xr2:uid="{00000000-000D-0000-FFFF-FFFF00000000}"/>
  </bookViews>
  <sheets>
    <sheet name="About-General" sheetId="1" r:id="rId1"/>
    <sheet name="GeoWaste Database" sheetId="4" r:id="rId2"/>
  </sheets>
  <definedNames>
    <definedName name="_xlnm._FilterDatabase" localSheetId="1" hidden="1">'GeoWaste Database'!$A$3:$AU$316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5" i="4" l="1"/>
  <c r="AU6" i="4"/>
  <c r="AU7" i="4"/>
  <c r="AU8" i="4"/>
  <c r="AU9" i="4"/>
  <c r="AU10" i="4"/>
  <c r="AU12" i="4"/>
  <c r="AU15" i="4"/>
  <c r="AU16" i="4"/>
  <c r="AU19" i="4"/>
  <c r="AU20" i="4"/>
  <c r="AU21" i="4"/>
  <c r="AU22" i="4"/>
  <c r="AU23" i="4"/>
  <c r="AU24" i="4"/>
  <c r="AU25" i="4"/>
  <c r="AU26" i="4"/>
  <c r="AU27" i="4"/>
  <c r="AU29" i="4"/>
  <c r="AU30" i="4"/>
  <c r="AU31" i="4"/>
  <c r="AU32" i="4"/>
  <c r="AU33" i="4"/>
  <c r="AU34" i="4"/>
  <c r="AU35" i="4"/>
  <c r="AU36" i="4"/>
  <c r="AU37" i="4"/>
  <c r="AU38" i="4"/>
  <c r="AU39" i="4"/>
  <c r="AU40" i="4"/>
  <c r="AU41" i="4"/>
  <c r="AU42" i="4"/>
  <c r="AU43" i="4"/>
  <c r="AU44" i="4"/>
  <c r="AU45" i="4"/>
  <c r="AU46" i="4"/>
  <c r="AU47" i="4"/>
  <c r="AU48" i="4"/>
  <c r="AU49" i="4"/>
  <c r="AU50" i="4"/>
  <c r="AU51" i="4"/>
  <c r="AU52" i="4"/>
  <c r="AU53" i="4"/>
  <c r="AU54" i="4"/>
  <c r="AU55" i="4"/>
  <c r="AU56" i="4"/>
  <c r="AU57" i="4"/>
  <c r="AU58" i="4"/>
  <c r="AU59" i="4"/>
  <c r="AU60" i="4"/>
  <c r="AU61" i="4"/>
  <c r="AU62" i="4"/>
  <c r="AU63" i="4"/>
  <c r="AU64" i="4"/>
  <c r="AU65" i="4"/>
  <c r="AU66" i="4"/>
  <c r="AU67" i="4"/>
  <c r="AU68" i="4"/>
  <c r="AU69" i="4"/>
  <c r="AU70" i="4"/>
  <c r="AU71" i="4"/>
  <c r="AU72" i="4"/>
  <c r="AU73" i="4"/>
  <c r="AU74" i="4"/>
  <c r="AU75" i="4"/>
  <c r="AU76" i="4"/>
  <c r="AU77" i="4"/>
  <c r="AU78" i="4"/>
  <c r="AU79" i="4"/>
  <c r="AU80" i="4"/>
  <c r="AU81" i="4"/>
  <c r="AU82" i="4"/>
  <c r="AU83" i="4"/>
  <c r="AU84" i="4"/>
  <c r="AU85" i="4"/>
  <c r="AU86" i="4"/>
  <c r="AU87" i="4"/>
  <c r="AU88" i="4"/>
  <c r="AU89" i="4"/>
  <c r="AU90" i="4"/>
  <c r="AU91" i="4"/>
  <c r="AU92" i="4"/>
  <c r="AU93" i="4"/>
  <c r="AU94" i="4"/>
  <c r="AU95" i="4"/>
  <c r="AU96" i="4"/>
  <c r="AU97" i="4"/>
  <c r="AU98" i="4"/>
  <c r="AU99" i="4"/>
  <c r="AU100" i="4"/>
  <c r="AU101" i="4"/>
  <c r="AU103" i="4"/>
  <c r="AU105" i="4"/>
  <c r="AU106" i="4"/>
  <c r="AU107" i="4"/>
  <c r="AU109" i="4"/>
  <c r="AU111" i="4"/>
  <c r="AU112" i="4"/>
  <c r="AU113" i="4"/>
  <c r="AU114" i="4"/>
  <c r="AU116" i="4"/>
  <c r="AU122" i="4"/>
  <c r="AU125" i="4"/>
  <c r="AU127" i="4"/>
  <c r="AU128" i="4"/>
  <c r="AU129" i="4"/>
  <c r="AU132" i="4"/>
  <c r="AU133" i="4"/>
  <c r="AU134" i="4"/>
  <c r="AU135" i="4"/>
  <c r="AU137" i="4"/>
  <c r="AU141" i="4"/>
  <c r="AU143" i="4"/>
  <c r="AU144" i="4"/>
  <c r="AU145" i="4"/>
  <c r="AU146" i="4"/>
  <c r="AU147" i="4"/>
  <c r="AU148" i="4"/>
  <c r="AU150" i="4"/>
  <c r="AU151" i="4"/>
  <c r="AU152" i="4"/>
  <c r="AU154" i="4"/>
  <c r="AU155" i="4"/>
  <c r="AU156" i="4"/>
  <c r="AU157" i="4"/>
  <c r="AU158" i="4"/>
  <c r="AU159" i="4"/>
  <c r="AU160" i="4"/>
  <c r="AU161" i="4"/>
  <c r="AU162" i="4"/>
  <c r="AU163" i="4"/>
  <c r="AU164" i="4"/>
  <c r="AU165" i="4"/>
  <c r="AU166" i="4"/>
  <c r="AU167" i="4"/>
  <c r="AU168" i="4"/>
  <c r="AU169" i="4"/>
  <c r="AU170" i="4"/>
  <c r="AU171" i="4"/>
  <c r="AU172" i="4"/>
  <c r="AU173" i="4"/>
  <c r="AU174" i="4"/>
  <c r="AU175" i="4"/>
  <c r="AU176" i="4"/>
  <c r="AU177" i="4"/>
  <c r="AU178" i="4"/>
  <c r="AU179" i="4"/>
  <c r="AU180" i="4"/>
  <c r="AU182" i="4"/>
  <c r="AU183" i="4"/>
  <c r="AU184" i="4"/>
  <c r="AU185" i="4"/>
  <c r="AU186" i="4"/>
  <c r="AU187" i="4"/>
  <c r="AU188" i="4"/>
  <c r="AU189" i="4"/>
  <c r="AU190" i="4"/>
  <c r="AU191" i="4"/>
  <c r="AU192" i="4"/>
  <c r="AU193" i="4"/>
  <c r="AU194" i="4"/>
  <c r="AU195" i="4"/>
  <c r="AU196" i="4"/>
  <c r="AU197" i="4"/>
  <c r="AU198" i="4"/>
  <c r="AU199" i="4"/>
  <c r="AU200" i="4"/>
  <c r="AU201" i="4"/>
  <c r="AU202" i="4"/>
  <c r="AU203" i="4"/>
  <c r="AU204" i="4"/>
  <c r="AU205" i="4"/>
  <c r="AU4" i="4"/>
  <c r="AT204" i="4"/>
  <c r="AT205" i="4"/>
  <c r="AO5" i="4"/>
  <c r="AO6" i="4"/>
  <c r="AO7" i="4"/>
  <c r="AO8" i="4"/>
  <c r="AO9" i="4"/>
  <c r="AO10" i="4"/>
  <c r="AO11" i="4"/>
  <c r="AO12" i="4"/>
  <c r="AO13" i="4"/>
  <c r="AO14" i="4"/>
  <c r="AO15" i="4"/>
  <c r="AO16" i="4"/>
  <c r="AO17" i="4"/>
  <c r="AO18" i="4"/>
  <c r="AO19" i="4"/>
  <c r="AO20" i="4"/>
  <c r="AO21" i="4"/>
  <c r="AO22" i="4"/>
  <c r="AO23" i="4"/>
  <c r="AO24" i="4"/>
  <c r="AO25" i="4"/>
  <c r="AO26" i="4"/>
  <c r="AO27" i="4"/>
  <c r="AO28" i="4"/>
  <c r="AO29" i="4"/>
  <c r="AO30" i="4"/>
  <c r="AO31" i="4"/>
  <c r="AO32" i="4"/>
  <c r="AO33" i="4"/>
  <c r="AO34" i="4"/>
  <c r="AO35" i="4"/>
  <c r="AO36" i="4"/>
  <c r="AO37" i="4"/>
  <c r="AO38" i="4"/>
  <c r="AO39" i="4"/>
  <c r="AO40" i="4"/>
  <c r="AO41" i="4"/>
  <c r="AO42" i="4"/>
  <c r="AO43" i="4"/>
  <c r="AO44" i="4"/>
  <c r="AO45" i="4"/>
  <c r="AO46" i="4"/>
  <c r="AO47" i="4"/>
  <c r="AO48" i="4"/>
  <c r="AO49" i="4"/>
  <c r="AO50" i="4"/>
  <c r="AO51" i="4"/>
  <c r="AO52" i="4"/>
  <c r="AO53" i="4"/>
  <c r="AO54" i="4"/>
  <c r="AO55" i="4"/>
  <c r="AO56" i="4"/>
  <c r="AO57" i="4"/>
  <c r="AO58" i="4"/>
  <c r="AO59" i="4"/>
  <c r="AO60" i="4"/>
  <c r="AO61" i="4"/>
  <c r="AO62" i="4"/>
  <c r="AO63" i="4"/>
  <c r="AO64" i="4"/>
  <c r="AO65" i="4"/>
  <c r="AO66" i="4"/>
  <c r="AO67" i="4"/>
  <c r="AO68" i="4"/>
  <c r="AO69" i="4"/>
  <c r="AO70" i="4"/>
  <c r="AO71" i="4"/>
  <c r="AO72" i="4"/>
  <c r="AO73" i="4"/>
  <c r="AO74" i="4"/>
  <c r="AO75" i="4"/>
  <c r="AO76" i="4"/>
  <c r="AO77" i="4"/>
  <c r="AO78" i="4"/>
  <c r="AO79" i="4"/>
  <c r="AO80" i="4"/>
  <c r="AO81" i="4"/>
  <c r="AO82" i="4"/>
  <c r="AO83" i="4"/>
  <c r="AO84" i="4"/>
  <c r="AO85" i="4"/>
  <c r="AO86" i="4"/>
  <c r="AO87" i="4"/>
  <c r="AO88" i="4"/>
  <c r="AO89" i="4"/>
  <c r="AO90" i="4"/>
  <c r="AO91" i="4"/>
  <c r="AO92" i="4"/>
  <c r="AO93" i="4"/>
  <c r="AO94" i="4"/>
  <c r="AO95" i="4"/>
  <c r="AO96" i="4"/>
  <c r="AO97" i="4"/>
  <c r="AO98" i="4"/>
  <c r="AO99" i="4"/>
  <c r="AO100" i="4"/>
  <c r="AO101" i="4"/>
  <c r="AO102" i="4"/>
  <c r="AO103" i="4"/>
  <c r="AO104" i="4"/>
  <c r="AO105" i="4"/>
  <c r="AO106" i="4"/>
  <c r="AO107" i="4"/>
  <c r="AO108" i="4"/>
  <c r="AO109" i="4"/>
  <c r="AO110" i="4"/>
  <c r="AO111" i="4"/>
  <c r="AO112" i="4"/>
  <c r="AO113" i="4"/>
  <c r="AO114" i="4"/>
  <c r="AO115" i="4"/>
  <c r="AO116" i="4"/>
  <c r="AO117" i="4"/>
  <c r="AO118" i="4"/>
  <c r="AO119" i="4"/>
  <c r="AO120" i="4"/>
  <c r="AO121" i="4"/>
  <c r="AO122" i="4"/>
  <c r="AO123" i="4"/>
  <c r="AO124" i="4"/>
  <c r="AO125" i="4"/>
  <c r="AO126" i="4"/>
  <c r="AO127" i="4"/>
  <c r="AO128" i="4"/>
  <c r="AO129" i="4"/>
  <c r="AO130" i="4"/>
  <c r="AO131" i="4"/>
  <c r="AO132" i="4"/>
  <c r="AO133" i="4"/>
  <c r="AO134" i="4"/>
  <c r="AO135" i="4"/>
  <c r="AO136" i="4"/>
  <c r="AO137" i="4"/>
  <c r="AO138" i="4"/>
  <c r="AO139" i="4"/>
  <c r="AO140" i="4"/>
  <c r="AO141" i="4"/>
  <c r="AO142" i="4"/>
  <c r="AO143" i="4"/>
  <c r="AO144" i="4"/>
  <c r="AO145" i="4"/>
  <c r="AO146" i="4"/>
  <c r="AO147" i="4"/>
  <c r="AO148" i="4"/>
  <c r="AO149" i="4"/>
  <c r="AO150" i="4"/>
  <c r="AO151" i="4"/>
  <c r="AO152" i="4"/>
  <c r="AO153" i="4"/>
  <c r="AO154" i="4"/>
  <c r="AO155" i="4"/>
  <c r="AO156" i="4"/>
  <c r="AO157" i="4"/>
  <c r="AO158" i="4"/>
  <c r="AO159" i="4"/>
  <c r="AO160" i="4"/>
  <c r="AO161" i="4"/>
  <c r="AO162" i="4"/>
  <c r="AO163" i="4"/>
  <c r="AO164" i="4"/>
  <c r="AO165" i="4"/>
  <c r="AO166" i="4"/>
  <c r="AO167" i="4"/>
  <c r="AO168" i="4"/>
  <c r="AO169" i="4"/>
  <c r="AO170" i="4"/>
  <c r="AO171" i="4"/>
  <c r="AO172" i="4"/>
  <c r="AO173" i="4"/>
  <c r="AO174" i="4"/>
  <c r="AO175" i="4"/>
  <c r="AO176" i="4"/>
  <c r="AO177" i="4"/>
  <c r="AO178" i="4"/>
  <c r="AO179" i="4"/>
  <c r="AO180" i="4"/>
  <c r="AO181" i="4"/>
  <c r="AO182" i="4"/>
  <c r="AO183" i="4"/>
  <c r="AO184" i="4"/>
  <c r="AO185" i="4"/>
  <c r="AO186" i="4"/>
  <c r="AO187" i="4"/>
  <c r="AO188" i="4"/>
  <c r="AO189" i="4"/>
  <c r="AO190" i="4"/>
  <c r="AO191" i="4"/>
  <c r="AO192" i="4"/>
  <c r="AO193" i="4"/>
  <c r="AO194" i="4"/>
  <c r="AO195" i="4"/>
  <c r="AO196" i="4"/>
  <c r="AO197" i="4"/>
  <c r="AO198" i="4"/>
  <c r="AO199" i="4"/>
  <c r="AO200" i="4"/>
  <c r="AO201" i="4"/>
  <c r="AO202" i="4"/>
  <c r="AO203" i="4"/>
  <c r="AO4" i="4"/>
  <c r="AN5" i="4"/>
  <c r="AN6" i="4"/>
  <c r="AN7" i="4"/>
  <c r="AN8" i="4"/>
  <c r="AN9" i="4"/>
  <c r="AN10" i="4"/>
  <c r="AN12" i="4"/>
  <c r="AN15" i="4"/>
  <c r="AN16" i="4"/>
  <c r="AN17" i="4"/>
  <c r="AN19" i="4"/>
  <c r="AN20" i="4"/>
  <c r="AN21" i="4"/>
  <c r="AN22" i="4"/>
  <c r="AN23" i="4"/>
  <c r="AN24" i="4"/>
  <c r="AN25" i="4"/>
  <c r="AN26" i="4"/>
  <c r="AN27" i="4"/>
  <c r="AN29" i="4"/>
  <c r="AN30" i="4"/>
  <c r="AN31" i="4"/>
  <c r="AN32" i="4"/>
  <c r="AN33" i="4"/>
  <c r="AN34" i="4"/>
  <c r="AN35" i="4"/>
  <c r="AN36" i="4"/>
  <c r="AN37" i="4"/>
  <c r="AN38" i="4"/>
  <c r="AN39" i="4"/>
  <c r="AN40" i="4"/>
  <c r="AN41" i="4"/>
  <c r="AN42" i="4"/>
  <c r="AN43" i="4"/>
  <c r="AN44" i="4"/>
  <c r="AN45" i="4"/>
  <c r="AN46" i="4"/>
  <c r="AN47" i="4"/>
  <c r="AN48" i="4"/>
  <c r="AN49" i="4"/>
  <c r="AN50" i="4"/>
  <c r="AN51" i="4"/>
  <c r="AN52" i="4"/>
  <c r="AN53" i="4"/>
  <c r="AN54" i="4"/>
  <c r="AN55" i="4"/>
  <c r="AN56" i="4"/>
  <c r="AN57" i="4"/>
  <c r="AN58" i="4"/>
  <c r="AN59" i="4"/>
  <c r="AN60" i="4"/>
  <c r="AN61" i="4"/>
  <c r="AN62" i="4"/>
  <c r="AN63" i="4"/>
  <c r="AN64" i="4"/>
  <c r="AN65" i="4"/>
  <c r="AN66" i="4"/>
  <c r="AN67" i="4"/>
  <c r="AN68" i="4"/>
  <c r="AN69" i="4"/>
  <c r="AN70" i="4"/>
  <c r="AN71" i="4"/>
  <c r="AN72" i="4"/>
  <c r="AN73" i="4"/>
  <c r="AN74" i="4"/>
  <c r="AN75" i="4"/>
  <c r="AN76" i="4"/>
  <c r="AN77" i="4"/>
  <c r="AN78" i="4"/>
  <c r="AN79" i="4"/>
  <c r="AN80" i="4"/>
  <c r="AN81" i="4"/>
  <c r="AN82" i="4"/>
  <c r="AN83" i="4"/>
  <c r="AN84" i="4"/>
  <c r="AN85" i="4"/>
  <c r="AN86" i="4"/>
  <c r="AN87" i="4"/>
  <c r="AN88" i="4"/>
  <c r="AN89" i="4"/>
  <c r="AN90" i="4"/>
  <c r="AN91" i="4"/>
  <c r="AN92" i="4"/>
  <c r="AN93" i="4"/>
  <c r="AN94" i="4"/>
  <c r="AN95" i="4"/>
  <c r="AN96" i="4"/>
  <c r="AN97" i="4"/>
  <c r="AN98" i="4"/>
  <c r="AN99" i="4"/>
  <c r="AN100" i="4"/>
  <c r="AN101" i="4"/>
  <c r="AN102" i="4"/>
  <c r="AN103" i="4"/>
  <c r="AN105" i="4"/>
  <c r="AN106" i="4"/>
  <c r="AN107" i="4"/>
  <c r="AN109" i="4"/>
  <c r="AN111" i="4"/>
  <c r="AN112" i="4"/>
  <c r="AN113" i="4"/>
  <c r="AN114" i="4"/>
  <c r="AN116" i="4"/>
  <c r="AN122" i="4"/>
  <c r="AN125" i="4"/>
  <c r="AN127" i="4"/>
  <c r="AN128" i="4"/>
  <c r="AN129" i="4"/>
  <c r="AN132" i="4"/>
  <c r="AN133" i="4"/>
  <c r="AN134" i="4"/>
  <c r="AN135" i="4"/>
  <c r="AN137" i="4"/>
  <c r="AN141" i="4"/>
  <c r="AN143" i="4"/>
  <c r="AN144" i="4"/>
  <c r="AN145" i="4"/>
  <c r="AN146" i="4"/>
  <c r="AN147" i="4"/>
  <c r="AN148" i="4"/>
  <c r="AN150" i="4"/>
  <c r="AN151" i="4"/>
  <c r="AN152" i="4"/>
  <c r="AN154" i="4"/>
  <c r="AN155" i="4"/>
  <c r="AN156" i="4"/>
  <c r="AN157" i="4"/>
  <c r="AN158" i="4"/>
  <c r="AN159" i="4"/>
  <c r="AN160" i="4"/>
  <c r="AN161" i="4"/>
  <c r="AN162" i="4"/>
  <c r="AN163" i="4"/>
  <c r="AN164" i="4"/>
  <c r="AN165" i="4"/>
  <c r="AN166" i="4"/>
  <c r="AN167" i="4"/>
  <c r="AN168" i="4"/>
  <c r="AN169" i="4"/>
  <c r="AN170" i="4"/>
  <c r="AN171" i="4"/>
  <c r="AN172" i="4"/>
  <c r="AN173" i="4"/>
  <c r="AN174" i="4"/>
  <c r="AN175" i="4"/>
  <c r="AN176" i="4"/>
  <c r="AN177" i="4"/>
  <c r="AN178" i="4"/>
  <c r="AN179" i="4"/>
  <c r="AN180" i="4"/>
  <c r="AN182" i="4"/>
  <c r="AN183" i="4"/>
  <c r="AN184" i="4"/>
  <c r="AN185" i="4"/>
  <c r="AN186" i="4"/>
  <c r="AN187" i="4"/>
  <c r="AN188" i="4"/>
  <c r="AN189" i="4"/>
  <c r="AN190" i="4"/>
  <c r="AN191" i="4"/>
  <c r="AN192" i="4"/>
  <c r="AN193" i="4"/>
  <c r="AN194" i="4"/>
  <c r="AN195" i="4"/>
  <c r="AN196" i="4"/>
  <c r="AN197" i="4"/>
  <c r="AN198" i="4"/>
  <c r="AN199" i="4"/>
  <c r="AN200" i="4"/>
  <c r="AN201" i="4"/>
  <c r="AN202" i="4"/>
  <c r="AN203" i="4"/>
  <c r="AN4" i="4"/>
  <c r="AM5" i="4"/>
  <c r="AM6" i="4"/>
  <c r="AM7" i="4"/>
  <c r="AM8" i="4"/>
  <c r="AM9" i="4"/>
  <c r="AM10" i="4"/>
  <c r="AM11" i="4"/>
  <c r="AM12" i="4"/>
  <c r="AM13" i="4"/>
  <c r="AM14" i="4"/>
  <c r="AM15" i="4"/>
  <c r="AM16" i="4"/>
  <c r="AM18" i="4"/>
  <c r="AM19" i="4"/>
  <c r="AM20" i="4"/>
  <c r="AM21" i="4"/>
  <c r="AM22" i="4"/>
  <c r="AM23" i="4"/>
  <c r="AM24" i="4"/>
  <c r="AM25" i="4"/>
  <c r="AM26" i="4"/>
  <c r="AM27" i="4"/>
  <c r="AM29" i="4"/>
  <c r="AM30" i="4"/>
  <c r="AM31" i="4"/>
  <c r="AM32" i="4"/>
  <c r="AM33" i="4"/>
  <c r="AM34" i="4"/>
  <c r="AM35" i="4"/>
  <c r="AM36" i="4"/>
  <c r="AM37" i="4"/>
  <c r="AM38" i="4"/>
  <c r="AM39" i="4"/>
  <c r="AM40" i="4"/>
  <c r="AM41" i="4"/>
  <c r="AM42" i="4"/>
  <c r="AM43" i="4"/>
  <c r="AM44" i="4"/>
  <c r="AM45" i="4"/>
  <c r="AM46" i="4"/>
  <c r="AM47" i="4"/>
  <c r="AM48" i="4"/>
  <c r="AM49" i="4"/>
  <c r="AM50" i="4"/>
  <c r="AM51" i="4"/>
  <c r="AM52" i="4"/>
  <c r="AM53" i="4"/>
  <c r="AM54" i="4"/>
  <c r="AM55" i="4"/>
  <c r="AM56" i="4"/>
  <c r="AM57" i="4"/>
  <c r="AM58" i="4"/>
  <c r="AM59" i="4"/>
  <c r="AM60" i="4"/>
  <c r="AM61" i="4"/>
  <c r="AM62" i="4"/>
  <c r="AM63" i="4"/>
  <c r="AM64" i="4"/>
  <c r="AM65" i="4"/>
  <c r="AM66" i="4"/>
  <c r="AM67" i="4"/>
  <c r="AM68" i="4"/>
  <c r="AM69" i="4"/>
  <c r="AM70" i="4"/>
  <c r="AM71" i="4"/>
  <c r="AM72" i="4"/>
  <c r="AM73" i="4"/>
  <c r="AM74" i="4"/>
  <c r="AM75" i="4"/>
  <c r="AM76" i="4"/>
  <c r="AM77" i="4"/>
  <c r="AM78" i="4"/>
  <c r="AM79" i="4"/>
  <c r="AM80" i="4"/>
  <c r="AM81" i="4"/>
  <c r="AM82" i="4"/>
  <c r="AM83" i="4"/>
  <c r="AM84" i="4"/>
  <c r="AM85" i="4"/>
  <c r="AM86" i="4"/>
  <c r="AM87" i="4"/>
  <c r="AM88" i="4"/>
  <c r="AM89" i="4"/>
  <c r="AM90" i="4"/>
  <c r="AM91" i="4"/>
  <c r="AM92" i="4"/>
  <c r="AM93" i="4"/>
  <c r="AM94" i="4"/>
  <c r="AM95" i="4"/>
  <c r="AM96" i="4"/>
  <c r="AM97" i="4"/>
  <c r="AM98" i="4"/>
  <c r="AM99" i="4"/>
  <c r="AM100" i="4"/>
  <c r="AM101" i="4"/>
  <c r="AM103" i="4"/>
  <c r="AM105" i="4"/>
  <c r="AM106" i="4"/>
  <c r="AM107" i="4"/>
  <c r="AM108" i="4"/>
  <c r="AM109" i="4"/>
  <c r="AM110" i="4"/>
  <c r="AM111" i="4"/>
  <c r="AM112" i="4"/>
  <c r="AM113" i="4"/>
  <c r="AM114" i="4"/>
  <c r="AM115" i="4"/>
  <c r="AM116" i="4"/>
  <c r="AM117" i="4"/>
  <c r="AM118" i="4"/>
  <c r="AM119" i="4"/>
  <c r="AM120" i="4"/>
  <c r="AM121" i="4"/>
  <c r="AM122" i="4"/>
  <c r="AM123" i="4"/>
  <c r="AM124" i="4"/>
  <c r="AM125" i="4"/>
  <c r="AM126" i="4"/>
  <c r="AM127" i="4"/>
  <c r="AM128" i="4"/>
  <c r="AM129" i="4"/>
  <c r="AM130" i="4"/>
  <c r="AM131" i="4"/>
  <c r="AM132" i="4"/>
  <c r="AM133" i="4"/>
  <c r="AM134" i="4"/>
  <c r="AM135" i="4"/>
  <c r="AM136" i="4"/>
  <c r="AM137" i="4"/>
  <c r="AM138" i="4"/>
  <c r="AM139" i="4"/>
  <c r="AM140" i="4"/>
  <c r="AM141" i="4"/>
  <c r="AM142" i="4"/>
  <c r="AM143" i="4"/>
  <c r="AM144" i="4"/>
  <c r="AM145" i="4"/>
  <c r="AM146" i="4"/>
  <c r="AM147" i="4"/>
  <c r="AM148" i="4"/>
  <c r="AM149" i="4"/>
  <c r="AM150" i="4"/>
  <c r="AM151" i="4"/>
  <c r="AM152" i="4"/>
  <c r="AM153" i="4"/>
  <c r="AM154" i="4"/>
  <c r="AM155" i="4"/>
  <c r="AM156" i="4"/>
  <c r="AM157" i="4"/>
  <c r="AM158" i="4"/>
  <c r="AM159" i="4"/>
  <c r="AM160" i="4"/>
  <c r="AM161" i="4"/>
  <c r="AM162" i="4"/>
  <c r="AM163" i="4"/>
  <c r="AM164" i="4"/>
  <c r="AM165" i="4"/>
  <c r="AM166" i="4"/>
  <c r="AM167" i="4"/>
  <c r="AM168" i="4"/>
  <c r="AM169" i="4"/>
  <c r="AM170" i="4"/>
  <c r="AM171" i="4"/>
  <c r="AM172" i="4"/>
  <c r="AM173" i="4"/>
  <c r="AM174" i="4"/>
  <c r="AM175" i="4"/>
  <c r="AM176" i="4"/>
  <c r="AM177" i="4"/>
  <c r="AM178" i="4"/>
  <c r="AM179" i="4"/>
  <c r="AM180" i="4"/>
  <c r="AM181" i="4"/>
  <c r="AM182" i="4"/>
  <c r="AM183" i="4"/>
  <c r="AM184" i="4"/>
  <c r="AM185" i="4"/>
  <c r="AM186" i="4"/>
  <c r="AM187" i="4"/>
  <c r="AM188" i="4"/>
  <c r="AM189" i="4"/>
  <c r="AM190" i="4"/>
  <c r="AM191" i="4"/>
  <c r="AM192" i="4"/>
  <c r="AM193" i="4"/>
  <c r="AM194" i="4"/>
  <c r="AM195" i="4"/>
  <c r="AM196" i="4"/>
  <c r="AM197" i="4"/>
  <c r="AM198" i="4"/>
  <c r="AM199" i="4"/>
  <c r="AM200" i="4"/>
  <c r="AM201" i="4"/>
  <c r="AM202" i="4"/>
  <c r="AM203" i="4"/>
  <c r="AM4" i="4"/>
  <c r="AL4" i="4"/>
  <c r="AL5" i="4"/>
  <c r="AL6" i="4"/>
  <c r="AL7" i="4"/>
  <c r="AL8" i="4"/>
  <c r="AL9" i="4"/>
  <c r="AL10" i="4"/>
  <c r="AL11" i="4"/>
  <c r="AL12" i="4"/>
  <c r="AL13" i="4"/>
  <c r="AL14" i="4"/>
  <c r="AL15" i="4"/>
  <c r="AL16" i="4"/>
  <c r="AL17" i="4"/>
  <c r="AL18" i="4"/>
  <c r="AL19" i="4"/>
  <c r="AL20" i="4"/>
  <c r="AL21" i="4"/>
  <c r="AL22" i="4"/>
  <c r="AL23" i="4"/>
  <c r="AL24" i="4"/>
  <c r="AL25" i="4"/>
  <c r="AL26" i="4"/>
  <c r="AL27" i="4"/>
  <c r="AL28" i="4"/>
  <c r="AL29" i="4"/>
  <c r="AL30" i="4"/>
  <c r="AL31" i="4"/>
  <c r="AL32" i="4"/>
  <c r="AL33" i="4"/>
  <c r="AL34" i="4"/>
  <c r="AL35" i="4"/>
  <c r="AL36" i="4"/>
  <c r="AL37" i="4"/>
  <c r="AL38" i="4"/>
  <c r="AL39" i="4"/>
  <c r="AL40" i="4"/>
  <c r="AL41" i="4"/>
  <c r="AL42" i="4"/>
  <c r="AL43" i="4"/>
  <c r="AL44" i="4"/>
  <c r="AL45" i="4"/>
  <c r="AL46" i="4"/>
  <c r="AL47" i="4"/>
  <c r="AL48" i="4"/>
  <c r="AL49" i="4"/>
  <c r="AL50" i="4"/>
  <c r="AL51" i="4"/>
  <c r="AL52" i="4"/>
  <c r="AL53" i="4"/>
  <c r="AL54" i="4"/>
  <c r="AL55" i="4"/>
  <c r="AL56" i="4"/>
  <c r="AL57" i="4"/>
  <c r="AL58" i="4"/>
  <c r="AL59" i="4"/>
  <c r="AL60" i="4"/>
  <c r="AL61" i="4"/>
  <c r="AL62" i="4"/>
  <c r="AL63" i="4"/>
  <c r="AL64" i="4"/>
  <c r="AL65" i="4"/>
  <c r="AL66" i="4"/>
  <c r="AL67" i="4"/>
  <c r="AL68" i="4"/>
  <c r="AL69" i="4"/>
  <c r="AL70" i="4"/>
  <c r="AL71" i="4"/>
  <c r="AL72" i="4"/>
  <c r="AL73" i="4"/>
  <c r="AL74" i="4"/>
  <c r="AL75" i="4"/>
  <c r="AL76" i="4"/>
  <c r="AL77" i="4"/>
  <c r="AL78" i="4"/>
  <c r="AL79" i="4"/>
  <c r="AL80" i="4"/>
  <c r="AL81" i="4"/>
  <c r="AL82" i="4"/>
  <c r="AL83" i="4"/>
  <c r="AL84" i="4"/>
  <c r="AL85" i="4"/>
  <c r="AL86" i="4"/>
  <c r="AL87" i="4"/>
  <c r="AL88" i="4"/>
  <c r="AL89" i="4"/>
  <c r="AL90" i="4"/>
  <c r="AL91" i="4"/>
  <c r="AL92" i="4"/>
  <c r="AL93" i="4"/>
  <c r="AL94" i="4"/>
  <c r="AL95" i="4"/>
  <c r="AL96" i="4"/>
  <c r="AL97" i="4"/>
  <c r="AL98" i="4"/>
  <c r="AL99" i="4"/>
  <c r="AL100" i="4"/>
  <c r="AL101" i="4"/>
  <c r="AL102" i="4"/>
  <c r="AL103" i="4"/>
  <c r="AL104" i="4"/>
  <c r="AL105" i="4"/>
  <c r="AL106" i="4"/>
  <c r="AL107" i="4"/>
  <c r="AL108" i="4"/>
  <c r="AL109" i="4"/>
  <c r="AL110" i="4"/>
  <c r="AL111" i="4"/>
  <c r="AL112" i="4"/>
  <c r="AL113" i="4"/>
  <c r="AL114" i="4"/>
  <c r="AL115" i="4"/>
  <c r="AL116" i="4"/>
  <c r="AL117" i="4"/>
  <c r="AL118" i="4"/>
  <c r="AL119" i="4"/>
  <c r="AL120" i="4"/>
  <c r="AL121" i="4"/>
  <c r="AL122" i="4"/>
  <c r="AL123" i="4"/>
  <c r="AL124" i="4"/>
  <c r="AL125" i="4"/>
  <c r="AL126" i="4"/>
  <c r="AL127" i="4"/>
  <c r="AL128" i="4"/>
  <c r="AL129" i="4"/>
  <c r="AL130" i="4"/>
  <c r="AL131" i="4"/>
  <c r="AL132" i="4"/>
  <c r="AL133" i="4"/>
  <c r="AL134" i="4"/>
  <c r="AL135" i="4"/>
  <c r="AL136" i="4"/>
  <c r="AL137" i="4"/>
  <c r="AL138" i="4"/>
  <c r="AL139" i="4"/>
  <c r="AL140" i="4"/>
  <c r="AL141" i="4"/>
  <c r="AL142" i="4"/>
  <c r="AL143" i="4"/>
  <c r="AL144" i="4"/>
  <c r="AL145" i="4"/>
  <c r="AL146" i="4"/>
  <c r="AL147" i="4"/>
  <c r="AL148" i="4"/>
  <c r="AL149" i="4"/>
  <c r="AL150" i="4"/>
  <c r="AL151" i="4"/>
  <c r="AL152" i="4"/>
  <c r="AL153" i="4"/>
  <c r="AL154" i="4"/>
  <c r="AL155" i="4"/>
  <c r="AL156" i="4"/>
  <c r="AL157" i="4"/>
  <c r="AL158" i="4"/>
  <c r="AL159" i="4"/>
  <c r="AL160" i="4"/>
  <c r="AL161" i="4"/>
  <c r="AL162" i="4"/>
  <c r="AL163" i="4"/>
  <c r="AL164" i="4"/>
  <c r="AL165" i="4"/>
  <c r="AL166" i="4"/>
  <c r="AL167" i="4"/>
  <c r="AL168" i="4"/>
  <c r="AL169" i="4"/>
  <c r="AL170" i="4"/>
  <c r="AL171" i="4"/>
  <c r="AL172" i="4"/>
  <c r="AL173" i="4"/>
  <c r="AL174" i="4"/>
  <c r="AL175" i="4"/>
  <c r="AL176" i="4"/>
  <c r="AL177" i="4"/>
  <c r="AL178" i="4"/>
  <c r="AL179" i="4"/>
  <c r="AL180" i="4"/>
  <c r="AL181" i="4"/>
  <c r="AL182" i="4"/>
  <c r="AL183" i="4"/>
  <c r="AL184" i="4"/>
  <c r="AL185" i="4"/>
  <c r="AL186" i="4"/>
  <c r="AL187" i="4"/>
  <c r="AL188" i="4"/>
  <c r="AL189" i="4"/>
  <c r="AL190" i="4"/>
  <c r="AL191" i="4"/>
  <c r="AL192" i="4"/>
  <c r="AL193" i="4"/>
  <c r="AL194" i="4"/>
  <c r="AL195" i="4"/>
  <c r="AL196" i="4"/>
  <c r="AL197" i="4"/>
  <c r="AL198" i="4"/>
  <c r="AL199" i="4"/>
  <c r="AL200" i="4"/>
  <c r="AL201" i="4"/>
  <c r="AL202" i="4"/>
  <c r="AL203" i="4"/>
  <c r="AL2" i="4" l="1"/>
  <c r="AL1" i="4"/>
  <c r="AO2" i="4"/>
  <c r="AO1" i="4"/>
  <c r="I194" i="4"/>
  <c r="Y181" i="4"/>
  <c r="AU181" i="4" s="1"/>
  <c r="I159" i="4"/>
  <c r="Y153" i="4"/>
  <c r="AU153" i="4" s="1"/>
  <c r="Y149" i="4"/>
  <c r="AU149" i="4" s="1"/>
  <c r="Y142" i="4"/>
  <c r="AU142" i="4" s="1"/>
  <c r="Y140" i="4"/>
  <c r="AU140" i="4" s="1"/>
  <c r="Y139" i="4"/>
  <c r="AU139" i="4" s="1"/>
  <c r="Y138" i="4"/>
  <c r="AU138" i="4" s="1"/>
  <c r="Y136" i="4"/>
  <c r="AU136" i="4" s="1"/>
  <c r="Y131" i="4"/>
  <c r="AU131" i="4" s="1"/>
  <c r="Y130" i="4"/>
  <c r="AU130" i="4" s="1"/>
  <c r="Y126" i="4"/>
  <c r="AU126" i="4" s="1"/>
  <c r="Y124" i="4"/>
  <c r="AU124" i="4" s="1"/>
  <c r="Y123" i="4"/>
  <c r="AU123" i="4" s="1"/>
  <c r="Y121" i="4"/>
  <c r="AU121" i="4" s="1"/>
  <c r="Y120" i="4"/>
  <c r="AU120" i="4" s="1"/>
  <c r="Y119" i="4"/>
  <c r="AU119" i="4" s="1"/>
  <c r="Y118" i="4"/>
  <c r="AU118" i="4" s="1"/>
  <c r="Y117" i="4"/>
  <c r="AU117" i="4" s="1"/>
  <c r="Y115" i="4"/>
  <c r="AU115" i="4" s="1"/>
  <c r="Y110" i="4"/>
  <c r="AU110" i="4" s="1"/>
  <c r="Y108" i="4"/>
  <c r="AU108" i="4" s="1"/>
  <c r="W104" i="4"/>
  <c r="W102" i="4"/>
  <c r="AU102" i="4" s="1"/>
  <c r="I102" i="4"/>
  <c r="W28" i="4"/>
  <c r="Y18" i="4"/>
  <c r="AU18" i="4" s="1"/>
  <c r="W17" i="4"/>
  <c r="AU17" i="4" s="1"/>
  <c r="Y14" i="4"/>
  <c r="AU14" i="4" s="1"/>
  <c r="Y13" i="4"/>
  <c r="AU13" i="4" s="1"/>
  <c r="Y11" i="4"/>
  <c r="AU11" i="4" s="1"/>
  <c r="AP40" i="4" l="1"/>
  <c r="AS61" i="4"/>
  <c r="AP27" i="4"/>
  <c r="AP176" i="4"/>
  <c r="AP8" i="4"/>
  <c r="AS202" i="4"/>
  <c r="AS201" i="4"/>
  <c r="AP80" i="4"/>
  <c r="AP21" i="4"/>
  <c r="AP16" i="4"/>
  <c r="AP96" i="4"/>
  <c r="AS8" i="4"/>
  <c r="AS182" i="4"/>
  <c r="AS119" i="4"/>
  <c r="AS33" i="4"/>
  <c r="AP102" i="4"/>
  <c r="AS54" i="4"/>
  <c r="AP50" i="4"/>
  <c r="AP32" i="4"/>
  <c r="AS183" i="4"/>
  <c r="AS107" i="4"/>
  <c r="AS175" i="4"/>
  <c r="AS123" i="4"/>
  <c r="AS45" i="4"/>
  <c r="AP138" i="4"/>
  <c r="AS66" i="4"/>
  <c r="AP62" i="4"/>
  <c r="AP68" i="4"/>
  <c r="AP17" i="4"/>
  <c r="AS52" i="4"/>
  <c r="AS75" i="4"/>
  <c r="AS9" i="4"/>
  <c r="AS42" i="4"/>
  <c r="AS171" i="4"/>
  <c r="AP60" i="4"/>
  <c r="AP74" i="4"/>
  <c r="AS34" i="4"/>
  <c r="AP41" i="4"/>
  <c r="AS30" i="4"/>
  <c r="AS199" i="4"/>
  <c r="AS57" i="4"/>
  <c r="AS69" i="4"/>
  <c r="AS28" i="4"/>
  <c r="AP72" i="4"/>
  <c r="AP86" i="4"/>
  <c r="AS142" i="4"/>
  <c r="AP65" i="4"/>
  <c r="AS81" i="4"/>
  <c r="AS40" i="4"/>
  <c r="AP84" i="4"/>
  <c r="AP194" i="4"/>
  <c r="AS178" i="4"/>
  <c r="AP113" i="4"/>
  <c r="AS7" i="4"/>
  <c r="AS31" i="4"/>
  <c r="AS157" i="4"/>
  <c r="AP69" i="4"/>
  <c r="AS121" i="4"/>
  <c r="AS23" i="4"/>
  <c r="AP46" i="4"/>
  <c r="AS43" i="4"/>
  <c r="AP19" i="4"/>
  <c r="AP161" i="4"/>
  <c r="AP129" i="4"/>
  <c r="AS64" i="4"/>
  <c r="AS11" i="4"/>
  <c r="AP34" i="4"/>
  <c r="AP101" i="4"/>
  <c r="AP9" i="4"/>
  <c r="AS83" i="4"/>
  <c r="AS18" i="4"/>
  <c r="AS151" i="4"/>
  <c r="AS122" i="4"/>
  <c r="AP197" i="4"/>
  <c r="AP106" i="4"/>
  <c r="AS105" i="4"/>
  <c r="AS143" i="4"/>
  <c r="AS148" i="4"/>
  <c r="AS162" i="4"/>
  <c r="AS91" i="4"/>
  <c r="AS39" i="4"/>
  <c r="AS153" i="4"/>
  <c r="AS155" i="4"/>
  <c r="AS172" i="4"/>
  <c r="AS174" i="4"/>
  <c r="AS55" i="4"/>
  <c r="AS49" i="4"/>
  <c r="AP164" i="4"/>
  <c r="AP67" i="4"/>
  <c r="AS27" i="4"/>
  <c r="AS93" i="4"/>
  <c r="AS138" i="4"/>
  <c r="AS170" i="4"/>
  <c r="AS177" i="4"/>
  <c r="AS167" i="4"/>
  <c r="AS184" i="4"/>
  <c r="AS186" i="4"/>
  <c r="AS103" i="4"/>
  <c r="AS73" i="4"/>
  <c r="AS147" i="4"/>
  <c r="AS146" i="4"/>
  <c r="AS87" i="4"/>
  <c r="AS131" i="4"/>
  <c r="AS76" i="4"/>
  <c r="AS67" i="4"/>
  <c r="AS36" i="4"/>
  <c r="AP140" i="4"/>
  <c r="AS6" i="4"/>
  <c r="AS189" i="4"/>
  <c r="AS12" i="4"/>
  <c r="AS196" i="4"/>
  <c r="AS198" i="4"/>
  <c r="AS127" i="4"/>
  <c r="AS97" i="4"/>
  <c r="AS22" i="4"/>
  <c r="AS15" i="4"/>
  <c r="AS135" i="4"/>
  <c r="AP104" i="4"/>
  <c r="AN121" i="4"/>
  <c r="AN149" i="4"/>
  <c r="AN119" i="4"/>
  <c r="AN14" i="4"/>
  <c r="AM17" i="4"/>
  <c r="AN18" i="4"/>
  <c r="AP201" i="4"/>
  <c r="AP4" i="4"/>
  <c r="AP114" i="4"/>
  <c r="AP82" i="4"/>
  <c r="AN142" i="4"/>
  <c r="AN153" i="4"/>
  <c r="AN115" i="4"/>
  <c r="AN138" i="4"/>
  <c r="AP177" i="4"/>
  <c r="AP139" i="4"/>
  <c r="AP20" i="4"/>
  <c r="AP116" i="4"/>
  <c r="AP172" i="4"/>
  <c r="AP195" i="4"/>
  <c r="AP170" i="4"/>
  <c r="AP26" i="4"/>
  <c r="AP180" i="4"/>
  <c r="AP36" i="4"/>
  <c r="AP10" i="4"/>
  <c r="AP78" i="4"/>
  <c r="AP149" i="4"/>
  <c r="AP79" i="4"/>
  <c r="AP6" i="4"/>
  <c r="AP117" i="4"/>
  <c r="AP153" i="4"/>
  <c r="AP52" i="4"/>
  <c r="AP51" i="4"/>
  <c r="AP98" i="4"/>
  <c r="AP118" i="4"/>
  <c r="AP30" i="4"/>
  <c r="AP108" i="4"/>
  <c r="AP150" i="4"/>
  <c r="AP162" i="4"/>
  <c r="AP18" i="4"/>
  <c r="AP105" i="4"/>
  <c r="AP115" i="4"/>
  <c r="AP28" i="4"/>
  <c r="AP126" i="4"/>
  <c r="AP94" i="4"/>
  <c r="AP57" i="4"/>
  <c r="AN120" i="4"/>
  <c r="AN13" i="4"/>
  <c r="AN118" i="4"/>
  <c r="AN140" i="4"/>
  <c r="AP152" i="4"/>
  <c r="AP55" i="4"/>
  <c r="AN123" i="4"/>
  <c r="AS88" i="4"/>
  <c r="AP130" i="4"/>
  <c r="AS78" i="4"/>
  <c r="AP120" i="4"/>
  <c r="AS115" i="4"/>
  <c r="AS32" i="4"/>
  <c r="AP110" i="4"/>
  <c r="AP87" i="4"/>
  <c r="AS181" i="4"/>
  <c r="AP103" i="4"/>
  <c r="AS63" i="4"/>
  <c r="AS58" i="4"/>
  <c r="AP64" i="4"/>
  <c r="AS37" i="4"/>
  <c r="AP151" i="4"/>
  <c r="AS13" i="4"/>
  <c r="AP7" i="4"/>
  <c r="AP165" i="4"/>
  <c r="AP189" i="4"/>
  <c r="AP33" i="4"/>
  <c r="AS35" i="4"/>
  <c r="AS179" i="4"/>
  <c r="AP174" i="4"/>
  <c r="AS100" i="4"/>
  <c r="AP142" i="4"/>
  <c r="AS90" i="4"/>
  <c r="AP132" i="4"/>
  <c r="AS139" i="4"/>
  <c r="AS68" i="4"/>
  <c r="AP122" i="4"/>
  <c r="AP99" i="4"/>
  <c r="AP163" i="4"/>
  <c r="AS99" i="4"/>
  <c r="AS70" i="4"/>
  <c r="AP76" i="4"/>
  <c r="AS85" i="4"/>
  <c r="AP199" i="4"/>
  <c r="AP127" i="4"/>
  <c r="AP154" i="4"/>
  <c r="AP70" i="4"/>
  <c r="AP93" i="4"/>
  <c r="AN124" i="4"/>
  <c r="AN181" i="4"/>
  <c r="AM102" i="4"/>
  <c r="AS5" i="4"/>
  <c r="AS17" i="4"/>
  <c r="AS29" i="4"/>
  <c r="AS41" i="4"/>
  <c r="AS53" i="4"/>
  <c r="AS65" i="4"/>
  <c r="AS77" i="4"/>
  <c r="AS89" i="4"/>
  <c r="AS101" i="4"/>
  <c r="AS113" i="4"/>
  <c r="AS125" i="4"/>
  <c r="AS137" i="4"/>
  <c r="AS149" i="4"/>
  <c r="AS161" i="4"/>
  <c r="AS173" i="4"/>
  <c r="AS185" i="4"/>
  <c r="AS197" i="4"/>
  <c r="AS20" i="4"/>
  <c r="AS24" i="4"/>
  <c r="AS72" i="4"/>
  <c r="AS108" i="4"/>
  <c r="AS144" i="4"/>
  <c r="AS180" i="4"/>
  <c r="AS44" i="4"/>
  <c r="AS80" i="4"/>
  <c r="AS116" i="4"/>
  <c r="AS152" i="4"/>
  <c r="AS188" i="4"/>
  <c r="AS46" i="4"/>
  <c r="AS48" i="4"/>
  <c r="AS156" i="4"/>
  <c r="AS164" i="4"/>
  <c r="AS56" i="4"/>
  <c r="AS60" i="4"/>
  <c r="AS168" i="4"/>
  <c r="AS190" i="4"/>
  <c r="AS82" i="4"/>
  <c r="AS84" i="4"/>
  <c r="AS192" i="4"/>
  <c r="AS92" i="4"/>
  <c r="AS200" i="4"/>
  <c r="AS128" i="4"/>
  <c r="AS132" i="4"/>
  <c r="AS154" i="4"/>
  <c r="AS96" i="4"/>
  <c r="AS4" i="4"/>
  <c r="AS118" i="4"/>
  <c r="AS120" i="4"/>
  <c r="AS117" i="4"/>
  <c r="AS47" i="4"/>
  <c r="AS191" i="4"/>
  <c r="AP42" i="4"/>
  <c r="AP186" i="4"/>
  <c r="AS112" i="4"/>
  <c r="AP166" i="4"/>
  <c r="AS102" i="4"/>
  <c r="AP144" i="4"/>
  <c r="AS163" i="4"/>
  <c r="AS104" i="4"/>
  <c r="AP134" i="4"/>
  <c r="AP135" i="4"/>
  <c r="AS14" i="4"/>
  <c r="AS111" i="4"/>
  <c r="AS94" i="4"/>
  <c r="AP100" i="4"/>
  <c r="AS133" i="4"/>
  <c r="AS38" i="4"/>
  <c r="AS109" i="4"/>
  <c r="AP175" i="4"/>
  <c r="AP187" i="4"/>
  <c r="AP202" i="4"/>
  <c r="AP141" i="4"/>
  <c r="AS129" i="4"/>
  <c r="AS59" i="4"/>
  <c r="AS203" i="4"/>
  <c r="AP54" i="4"/>
  <c r="AP198" i="4"/>
  <c r="AS124" i="4"/>
  <c r="AP178" i="4"/>
  <c r="AS114" i="4"/>
  <c r="AP12" i="4"/>
  <c r="AP156" i="4"/>
  <c r="AS187" i="4"/>
  <c r="AS140" i="4"/>
  <c r="AP146" i="4"/>
  <c r="AP147" i="4"/>
  <c r="AS50" i="4"/>
  <c r="AS159" i="4"/>
  <c r="AS106" i="4"/>
  <c r="AP124" i="4"/>
  <c r="AS169" i="4"/>
  <c r="AS74" i="4"/>
  <c r="AS145" i="4"/>
  <c r="AS26" i="4"/>
  <c r="AP200" i="4"/>
  <c r="AP185" i="4"/>
  <c r="AN126" i="4"/>
  <c r="AN130" i="4"/>
  <c r="AN108" i="4"/>
  <c r="AN131" i="4"/>
  <c r="AN110" i="4"/>
  <c r="AN136" i="4"/>
  <c r="AP13" i="4"/>
  <c r="AP37" i="4"/>
  <c r="AP49" i="4"/>
  <c r="AP61" i="4"/>
  <c r="AP73" i="4"/>
  <c r="AP25" i="4"/>
  <c r="AP35" i="4"/>
  <c r="AP107" i="4"/>
  <c r="AP155" i="4"/>
  <c r="AP203" i="4"/>
  <c r="AP11" i="4"/>
  <c r="AP59" i="4"/>
  <c r="AP111" i="4"/>
  <c r="AP159" i="4"/>
  <c r="AP97" i="4"/>
  <c r="AP145" i="4"/>
  <c r="AP193" i="4"/>
  <c r="AP83" i="4"/>
  <c r="AP131" i="4"/>
  <c r="AP179" i="4"/>
  <c r="AP23" i="4"/>
  <c r="AP47" i="4"/>
  <c r="AP85" i="4"/>
  <c r="AP133" i="4"/>
  <c r="AP181" i="4"/>
  <c r="AP88" i="4"/>
  <c r="AP89" i="4"/>
  <c r="AP125" i="4"/>
  <c r="AP167" i="4"/>
  <c r="AP91" i="4"/>
  <c r="AP53" i="4"/>
  <c r="AP128" i="4"/>
  <c r="AP169" i="4"/>
  <c r="AP136" i="4"/>
  <c r="AP171" i="4"/>
  <c r="AP95" i="4"/>
  <c r="AP173" i="4"/>
  <c r="AP56" i="4"/>
  <c r="AP137" i="4"/>
  <c r="AP5" i="4"/>
  <c r="AP63" i="4"/>
  <c r="AP184" i="4"/>
  <c r="AP77" i="4"/>
  <c r="AP191" i="4"/>
  <c r="AP121" i="4"/>
  <c r="AP39" i="4"/>
  <c r="AP123" i="4"/>
  <c r="AP160" i="4"/>
  <c r="AP143" i="4"/>
  <c r="AP75" i="4"/>
  <c r="AP15" i="4"/>
  <c r="AP71" i="4"/>
  <c r="AP109" i="4"/>
  <c r="AP29" i="4"/>
  <c r="AP112" i="4"/>
  <c r="AP119" i="4"/>
  <c r="AP157" i="4"/>
  <c r="AS141" i="4"/>
  <c r="AS10" i="4"/>
  <c r="AS71" i="4"/>
  <c r="AP66" i="4"/>
  <c r="AS51" i="4"/>
  <c r="AS136" i="4"/>
  <c r="AP190" i="4"/>
  <c r="AS126" i="4"/>
  <c r="AP24" i="4"/>
  <c r="AP168" i="4"/>
  <c r="AS19" i="4"/>
  <c r="AS176" i="4"/>
  <c r="AP14" i="4"/>
  <c r="AP158" i="4"/>
  <c r="AP183" i="4"/>
  <c r="AS86" i="4"/>
  <c r="AS195" i="4"/>
  <c r="AS130" i="4"/>
  <c r="AP148" i="4"/>
  <c r="AS110" i="4"/>
  <c r="AP44" i="4"/>
  <c r="AS193" i="4"/>
  <c r="AS62" i="4"/>
  <c r="AP31" i="4"/>
  <c r="AP58" i="4"/>
  <c r="AS98" i="4"/>
  <c r="AP45" i="4"/>
  <c r="AN11" i="4"/>
  <c r="AN117" i="4"/>
  <c r="AN139" i="4"/>
  <c r="AS21" i="4"/>
  <c r="AS165" i="4"/>
  <c r="AS95" i="4"/>
  <c r="AP90" i="4"/>
  <c r="AS16" i="4"/>
  <c r="AS160" i="4"/>
  <c r="AP22" i="4"/>
  <c r="AS150" i="4"/>
  <c r="AP48" i="4"/>
  <c r="AP192" i="4"/>
  <c r="AS79" i="4"/>
  <c r="AP38" i="4"/>
  <c r="AP182" i="4"/>
  <c r="AS25" i="4"/>
  <c r="AS158" i="4"/>
  <c r="AS166" i="4"/>
  <c r="AP196" i="4"/>
  <c r="AS194" i="4"/>
  <c r="AP188" i="4"/>
  <c r="AS134" i="4"/>
  <c r="AP92" i="4"/>
  <c r="AP43" i="4"/>
  <c r="AP81" i="4"/>
  <c r="Y28" i="4"/>
  <c r="AU28" i="4" s="1"/>
  <c r="AM28" i="4"/>
  <c r="Y104" i="4"/>
  <c r="AU104" i="4" s="1"/>
  <c r="AM104" i="4"/>
  <c r="AS2" i="4" l="1"/>
  <c r="AN104" i="4"/>
  <c r="AN28" i="4"/>
  <c r="AP2" i="4"/>
  <c r="AM2" i="4"/>
  <c r="AM1" i="4"/>
  <c r="AN1" i="4" l="1"/>
  <c r="AN2" i="4"/>
  <c r="AR158" i="4" s="1"/>
  <c r="AQ102" i="4"/>
  <c r="AR148" i="4"/>
  <c r="AR192" i="4"/>
  <c r="AR16" i="4"/>
  <c r="AR89" i="4"/>
  <c r="AR99" i="4"/>
  <c r="AR21" i="4"/>
  <c r="AR163" i="4"/>
  <c r="AR177" i="4"/>
  <c r="AR56" i="4"/>
  <c r="AR159" i="4"/>
  <c r="AR198" i="4"/>
  <c r="AR138" i="4"/>
  <c r="AQ19" i="4"/>
  <c r="AQ103" i="4"/>
  <c r="AQ106" i="4"/>
  <c r="AQ130" i="4"/>
  <c r="AQ142" i="4"/>
  <c r="AQ154" i="4"/>
  <c r="AQ166" i="4"/>
  <c r="AQ190" i="4"/>
  <c r="AQ202" i="4"/>
  <c r="AQ118" i="4"/>
  <c r="AQ178" i="4"/>
  <c r="AQ6" i="4"/>
  <c r="AQ92" i="4"/>
  <c r="AQ180" i="4"/>
  <c r="AQ68" i="4"/>
  <c r="AQ156" i="4"/>
  <c r="AQ16" i="4"/>
  <c r="AQ44" i="4"/>
  <c r="AQ132" i="4"/>
  <c r="AQ188" i="4"/>
  <c r="AQ78" i="4"/>
  <c r="AQ108" i="4"/>
  <c r="AQ164" i="4"/>
  <c r="AQ24" i="4"/>
  <c r="AQ80" i="4"/>
  <c r="AQ168" i="4"/>
  <c r="AQ54" i="4"/>
  <c r="AQ140" i="4"/>
  <c r="AQ56" i="4"/>
  <c r="AQ30" i="4"/>
  <c r="AQ32" i="4"/>
  <c r="AQ176" i="4"/>
  <c r="AQ38" i="4"/>
  <c r="AQ116" i="4"/>
  <c r="AQ182" i="4"/>
  <c r="AQ42" i="4"/>
  <c r="AQ120" i="4"/>
  <c r="AQ200" i="4"/>
  <c r="AQ60" i="4"/>
  <c r="AQ124" i="4"/>
  <c r="AQ128" i="4"/>
  <c r="AQ4" i="4"/>
  <c r="AQ66" i="4"/>
  <c r="AQ144" i="4"/>
  <c r="AQ152" i="4"/>
  <c r="AQ8" i="4"/>
  <c r="AQ90" i="4"/>
  <c r="AQ158" i="4"/>
  <c r="AQ172" i="4"/>
  <c r="AQ96" i="4"/>
  <c r="AQ138" i="4"/>
  <c r="AQ64" i="4"/>
  <c r="AQ194" i="4"/>
  <c r="AQ149" i="4"/>
  <c r="AQ25" i="4"/>
  <c r="AQ93" i="4"/>
  <c r="AQ105" i="4"/>
  <c r="AQ77" i="4"/>
  <c r="AQ147" i="4"/>
  <c r="AQ133" i="4"/>
  <c r="AQ169" i="4"/>
  <c r="AQ100" i="4"/>
  <c r="AQ14" i="4"/>
  <c r="AQ134" i="4"/>
  <c r="AQ113" i="4"/>
  <c r="AQ81" i="4"/>
  <c r="AQ91" i="4"/>
  <c r="AQ65" i="4"/>
  <c r="AQ135" i="4"/>
  <c r="AQ109" i="4"/>
  <c r="AQ198" i="4"/>
  <c r="AT198" i="4" s="1"/>
  <c r="AQ76" i="4"/>
  <c r="AQ185" i="4"/>
  <c r="AQ122" i="4"/>
  <c r="AQ75" i="4"/>
  <c r="AQ69" i="4"/>
  <c r="AQ79" i="4"/>
  <c r="AQ199" i="4"/>
  <c r="AQ53" i="4"/>
  <c r="AQ123" i="4"/>
  <c r="AQ71" i="4"/>
  <c r="AQ121" i="4"/>
  <c r="AQ70" i="4"/>
  <c r="AQ39" i="4"/>
  <c r="AQ155" i="4"/>
  <c r="AQ139" i="4"/>
  <c r="AQ46" i="4"/>
  <c r="AQ150" i="4"/>
  <c r="AQ27" i="4"/>
  <c r="AQ137" i="4"/>
  <c r="AQ110" i="4"/>
  <c r="AQ197" i="4"/>
  <c r="AQ51" i="4"/>
  <c r="AQ203" i="4"/>
  <c r="AQ57" i="4"/>
  <c r="AQ67" i="4"/>
  <c r="AQ187" i="4"/>
  <c r="AQ41" i="4"/>
  <c r="AQ111" i="4"/>
  <c r="AQ47" i="4"/>
  <c r="AQ95" i="4"/>
  <c r="AQ94" i="4"/>
  <c r="AQ160" i="4"/>
  <c r="AQ23" i="4"/>
  <c r="AQ7" i="4"/>
  <c r="AQ165" i="4"/>
  <c r="AQ88" i="4"/>
  <c r="AQ72" i="4"/>
  <c r="AQ99" i="4"/>
  <c r="AQ84" i="4"/>
  <c r="AQ161" i="4"/>
  <c r="AQ13" i="4"/>
  <c r="AQ191" i="4"/>
  <c r="AQ45" i="4"/>
  <c r="AQ201" i="4"/>
  <c r="AQ55" i="4"/>
  <c r="AQ175" i="4"/>
  <c r="AQ29" i="4"/>
  <c r="AQ97" i="4"/>
  <c r="AQ22" i="4"/>
  <c r="AQ83" i="4"/>
  <c r="AQ82" i="4"/>
  <c r="AQ58" i="4"/>
  <c r="AQ61" i="4"/>
  <c r="AQ40" i="4"/>
  <c r="AQ148" i="4"/>
  <c r="AQ63" i="4"/>
  <c r="AQ48" i="4"/>
  <c r="AQ125" i="4"/>
  <c r="AQ179" i="4"/>
  <c r="AQ33" i="4"/>
  <c r="AQ189" i="4"/>
  <c r="AQ43" i="4"/>
  <c r="AQ163" i="4"/>
  <c r="AQ15" i="4"/>
  <c r="AQ85" i="4"/>
  <c r="AQ59" i="4"/>
  <c r="AQ186" i="4"/>
  <c r="AQ146" i="4"/>
  <c r="AQ26" i="4"/>
  <c r="AQ36" i="4"/>
  <c r="AQ87" i="4"/>
  <c r="AQ167" i="4"/>
  <c r="AQ20" i="4"/>
  <c r="AQ177" i="4"/>
  <c r="AQ31" i="4"/>
  <c r="AQ151" i="4"/>
  <c r="AQ73" i="4"/>
  <c r="AQ35" i="4"/>
  <c r="AQ18" i="4"/>
  <c r="AQ9" i="4"/>
  <c r="AQ184" i="4"/>
  <c r="AQ107" i="4"/>
  <c r="AQ5" i="4"/>
  <c r="AQ86" i="4"/>
  <c r="AQ98" i="4"/>
  <c r="AQ62" i="4"/>
  <c r="AQ112" i="4"/>
  <c r="AQ12" i="4"/>
  <c r="AQ192" i="4"/>
  <c r="AQ195" i="4"/>
  <c r="AQ157" i="4"/>
  <c r="AQ136" i="4"/>
  <c r="AQ127" i="4"/>
  <c r="AQ143" i="4"/>
  <c r="AQ131" i="4"/>
  <c r="AQ126" i="4"/>
  <c r="AQ74" i="4"/>
  <c r="AQ162" i="4"/>
  <c r="AQ181" i="4"/>
  <c r="AQ34" i="4"/>
  <c r="AQ50" i="4"/>
  <c r="AQ171" i="4"/>
  <c r="AQ101" i="4"/>
  <c r="AQ141" i="4"/>
  <c r="AQ145" i="4"/>
  <c r="AQ52" i="4"/>
  <c r="AQ170" i="4"/>
  <c r="AQ49" i="4"/>
  <c r="AQ119" i="4"/>
  <c r="AQ114" i="4"/>
  <c r="AQ196" i="4"/>
  <c r="AQ21" i="4"/>
  <c r="AQ153" i="4"/>
  <c r="AQ10" i="4"/>
  <c r="AQ173" i="4"/>
  <c r="AQ129" i="4"/>
  <c r="AQ37" i="4"/>
  <c r="AQ183" i="4"/>
  <c r="AQ115" i="4"/>
  <c r="AQ159" i="4"/>
  <c r="AT159" i="4" s="1"/>
  <c r="AQ174" i="4"/>
  <c r="AQ89" i="4"/>
  <c r="AT89" i="4" s="1"/>
  <c r="AQ193" i="4"/>
  <c r="AQ117" i="4"/>
  <c r="AQ11" i="4"/>
  <c r="AQ104" i="4"/>
  <c r="AQ17" i="4"/>
  <c r="AQ28" i="4"/>
  <c r="AT21" i="4" l="1"/>
  <c r="AT158" i="4"/>
  <c r="AR111" i="4"/>
  <c r="AT16" i="4"/>
  <c r="AT111" i="4"/>
  <c r="AR188" i="4"/>
  <c r="AT188" i="4" s="1"/>
  <c r="AT192" i="4"/>
  <c r="AT56" i="4"/>
  <c r="AR114" i="4"/>
  <c r="AT114" i="4" s="1"/>
  <c r="AT138" i="4"/>
  <c r="AT163" i="4"/>
  <c r="AT139" i="4"/>
  <c r="AT177" i="4"/>
  <c r="AT99" i="4"/>
  <c r="AT148" i="4"/>
  <c r="AR190" i="4"/>
  <c r="AT190" i="4" s="1"/>
  <c r="AR38" i="4"/>
  <c r="AT38" i="4" s="1"/>
  <c r="AR13" i="4"/>
  <c r="AT13" i="4" s="1"/>
  <c r="AR183" i="4"/>
  <c r="AT183" i="4" s="1"/>
  <c r="AR46" i="4"/>
  <c r="AT46" i="4" s="1"/>
  <c r="AR72" i="4"/>
  <c r="AT72" i="4" s="1"/>
  <c r="AR104" i="4"/>
  <c r="AT104" i="4" s="1"/>
  <c r="AR11" i="4"/>
  <c r="AT11" i="4" s="1"/>
  <c r="AR173" i="4"/>
  <c r="AT173" i="4" s="1"/>
  <c r="AR129" i="4"/>
  <c r="AT129" i="4" s="1"/>
  <c r="AR122" i="4"/>
  <c r="AT122" i="4" s="1"/>
  <c r="AR42" i="4"/>
  <c r="AT42" i="4" s="1"/>
  <c r="AR168" i="4"/>
  <c r="AT168" i="4" s="1"/>
  <c r="AR136" i="4"/>
  <c r="AT136" i="4" s="1"/>
  <c r="AR199" i="4"/>
  <c r="AT199" i="4" s="1"/>
  <c r="AR73" i="4"/>
  <c r="AT73" i="4" s="1"/>
  <c r="AR116" i="4"/>
  <c r="AT116" i="4" s="1"/>
  <c r="AR120" i="4"/>
  <c r="AT120" i="4" s="1"/>
  <c r="AR63" i="4"/>
  <c r="AT63" i="4" s="1"/>
  <c r="AR18" i="4"/>
  <c r="AT18" i="4" s="1"/>
  <c r="AR124" i="4"/>
  <c r="AT124" i="4" s="1"/>
  <c r="AR150" i="4"/>
  <c r="AT150" i="4" s="1"/>
  <c r="AR154" i="4"/>
  <c r="AT154" i="4" s="1"/>
  <c r="AR75" i="4"/>
  <c r="AT75" i="4" s="1"/>
  <c r="AR144" i="4"/>
  <c r="AT144" i="4" s="1"/>
  <c r="AR8" i="4"/>
  <c r="AT8" i="4" s="1"/>
  <c r="AR200" i="4"/>
  <c r="AT200" i="4" s="1"/>
  <c r="AR23" i="4"/>
  <c r="AT23" i="4" s="1"/>
  <c r="AR165" i="4"/>
  <c r="AT165" i="4" s="1"/>
  <c r="AR44" i="4"/>
  <c r="AT44" i="4" s="1"/>
  <c r="AR132" i="4"/>
  <c r="AT132" i="4" s="1"/>
  <c r="AR50" i="4"/>
  <c r="AT50" i="4" s="1"/>
  <c r="AR67" i="4"/>
  <c r="AT67" i="4" s="1"/>
  <c r="AR189" i="4"/>
  <c r="AT189" i="4" s="1"/>
  <c r="AR92" i="4"/>
  <c r="AT92" i="4" s="1"/>
  <c r="AR139" i="4"/>
  <c r="AR103" i="4"/>
  <c r="AT103" i="4" s="1"/>
  <c r="AR68" i="4"/>
  <c r="AT68" i="4" s="1"/>
  <c r="AR140" i="4"/>
  <c r="AT140" i="4" s="1"/>
  <c r="AR62" i="4"/>
  <c r="AT62" i="4" s="1"/>
  <c r="AR101" i="4"/>
  <c r="AT101" i="4" s="1"/>
  <c r="AR27" i="4"/>
  <c r="AT27" i="4" s="1"/>
  <c r="AR40" i="4"/>
  <c r="AT40" i="4" s="1"/>
  <c r="AR9" i="4"/>
  <c r="AT9" i="4" s="1"/>
  <c r="AR108" i="4"/>
  <c r="AT108" i="4" s="1"/>
  <c r="AR17" i="4"/>
  <c r="AT17" i="4" s="1"/>
  <c r="AR47" i="4"/>
  <c r="AT47" i="4" s="1"/>
  <c r="AR91" i="4"/>
  <c r="AT91" i="4" s="1"/>
  <c r="AR80" i="4"/>
  <c r="AT80" i="4" s="1"/>
  <c r="AR107" i="4"/>
  <c r="AT107" i="4" s="1"/>
  <c r="AR128" i="4"/>
  <c r="AT128" i="4" s="1"/>
  <c r="AR169" i="4"/>
  <c r="AT169" i="4" s="1"/>
  <c r="AR118" i="4"/>
  <c r="AT118" i="4" s="1"/>
  <c r="AR20" i="4"/>
  <c r="AT20" i="4" s="1"/>
  <c r="AR186" i="4"/>
  <c r="AT186" i="4" s="1"/>
  <c r="AR24" i="4"/>
  <c r="AT24" i="4" s="1"/>
  <c r="AR26" i="4"/>
  <c r="AT26" i="4" s="1"/>
  <c r="AR147" i="4"/>
  <c r="AT147" i="4" s="1"/>
  <c r="AR4" i="4"/>
  <c r="AT4" i="4" s="1"/>
  <c r="AR157" i="4"/>
  <c r="AT157" i="4" s="1"/>
  <c r="AR123" i="4"/>
  <c r="AT123" i="4" s="1"/>
  <c r="AR201" i="4"/>
  <c r="AT201" i="4" s="1"/>
  <c r="AR171" i="4"/>
  <c r="AT171" i="4" s="1"/>
  <c r="AR203" i="4"/>
  <c r="AT203" i="4" s="1"/>
  <c r="AR78" i="4"/>
  <c r="AT78" i="4" s="1"/>
  <c r="AR162" i="4"/>
  <c r="AT162" i="4" s="1"/>
  <c r="AR187" i="4"/>
  <c r="AT187" i="4" s="1"/>
  <c r="AR146" i="4"/>
  <c r="AT146" i="4" s="1"/>
  <c r="AR149" i="4"/>
  <c r="AT149" i="4" s="1"/>
  <c r="AR14" i="4"/>
  <c r="AT14" i="4" s="1"/>
  <c r="AR30" i="4"/>
  <c r="AT30" i="4" s="1"/>
  <c r="AR55" i="4"/>
  <c r="AT55" i="4" s="1"/>
  <c r="AR39" i="4"/>
  <c r="AT39" i="4" s="1"/>
  <c r="AR93" i="4"/>
  <c r="AT93" i="4" s="1"/>
  <c r="AR85" i="4"/>
  <c r="AT85" i="4" s="1"/>
  <c r="AR112" i="4"/>
  <c r="AT112" i="4" s="1"/>
  <c r="AR52" i="4"/>
  <c r="AT52" i="4" s="1"/>
  <c r="AR28" i="4"/>
  <c r="AT28" i="4" s="1"/>
  <c r="AR153" i="4"/>
  <c r="AT153" i="4" s="1"/>
  <c r="AR130" i="4"/>
  <c r="AT130" i="4" s="1"/>
  <c r="AR83" i="4"/>
  <c r="AT83" i="4" s="1"/>
  <c r="AR33" i="4"/>
  <c r="AT33" i="4" s="1"/>
  <c r="AR151" i="4"/>
  <c r="AT151" i="4" s="1"/>
  <c r="AR61" i="4"/>
  <c r="AT61" i="4" s="1"/>
  <c r="AR87" i="4"/>
  <c r="AT87" i="4" s="1"/>
  <c r="AR137" i="4"/>
  <c r="AT137" i="4" s="1"/>
  <c r="AR194" i="4"/>
  <c r="AT194" i="4" s="1"/>
  <c r="AR110" i="4"/>
  <c r="AT110" i="4" s="1"/>
  <c r="AR121" i="4"/>
  <c r="AT121" i="4" s="1"/>
  <c r="AR35" i="4"/>
  <c r="AT35" i="4" s="1"/>
  <c r="AR141" i="4"/>
  <c r="AT141" i="4" s="1"/>
  <c r="AR79" i="4"/>
  <c r="AT79" i="4" s="1"/>
  <c r="AR6" i="4"/>
  <c r="AT6" i="4" s="1"/>
  <c r="AR15" i="4"/>
  <c r="AT15" i="4" s="1"/>
  <c r="AR48" i="4"/>
  <c r="AT48" i="4" s="1"/>
  <c r="AR202" i="4"/>
  <c r="AT202" i="4" s="1"/>
  <c r="AR10" i="4"/>
  <c r="AT10" i="4" s="1"/>
  <c r="AR152" i="4"/>
  <c r="AT152" i="4" s="1"/>
  <c r="AR34" i="4"/>
  <c r="AT34" i="4" s="1"/>
  <c r="AR175" i="4"/>
  <c r="AT175" i="4" s="1"/>
  <c r="AR184" i="4"/>
  <c r="AT184" i="4" s="1"/>
  <c r="AR106" i="4"/>
  <c r="AT106" i="4" s="1"/>
  <c r="AR25" i="4"/>
  <c r="AT25" i="4" s="1"/>
  <c r="AR181" i="4"/>
  <c r="AT181" i="4" s="1"/>
  <c r="AR71" i="4"/>
  <c r="AT71" i="4" s="1"/>
  <c r="AR197" i="4"/>
  <c r="AT197" i="4" s="1"/>
  <c r="AR170" i="4"/>
  <c r="AT170" i="4" s="1"/>
  <c r="AR45" i="4"/>
  <c r="AT45" i="4" s="1"/>
  <c r="AR57" i="4"/>
  <c r="AT57" i="4" s="1"/>
  <c r="AR185" i="4"/>
  <c r="AT185" i="4" s="1"/>
  <c r="AR164" i="4"/>
  <c r="AT164" i="4" s="1"/>
  <c r="AR109" i="4"/>
  <c r="AT109" i="4" s="1"/>
  <c r="AR7" i="4"/>
  <c r="AT7" i="4" s="1"/>
  <c r="AR156" i="4"/>
  <c r="AT156" i="4" s="1"/>
  <c r="AR180" i="4"/>
  <c r="AT180" i="4" s="1"/>
  <c r="AR161" i="4"/>
  <c r="AT161" i="4" s="1"/>
  <c r="AR98" i="4"/>
  <c r="AT98" i="4" s="1"/>
  <c r="AR76" i="4"/>
  <c r="AT76" i="4" s="1"/>
  <c r="AR179" i="4"/>
  <c r="AT179" i="4" s="1"/>
  <c r="AR142" i="4"/>
  <c r="AT142" i="4" s="1"/>
  <c r="AR59" i="4"/>
  <c r="AT59" i="4" s="1"/>
  <c r="AR166" i="4"/>
  <c r="AT166" i="4" s="1"/>
  <c r="AR196" i="4"/>
  <c r="AT196" i="4" s="1"/>
  <c r="AR135" i="4"/>
  <c r="AT135" i="4" s="1"/>
  <c r="AR191" i="4"/>
  <c r="AT191" i="4" s="1"/>
  <c r="AR81" i="4"/>
  <c r="AT81" i="4" s="1"/>
  <c r="AR134" i="4"/>
  <c r="AT134" i="4" s="1"/>
  <c r="AR127" i="4"/>
  <c r="AT127" i="4" s="1"/>
  <c r="AR84" i="4"/>
  <c r="AT84" i="4" s="1"/>
  <c r="AR32" i="4"/>
  <c r="AT32" i="4" s="1"/>
  <c r="AR70" i="4"/>
  <c r="AT70" i="4" s="1"/>
  <c r="AR82" i="4"/>
  <c r="AT82" i="4" s="1"/>
  <c r="AR88" i="4"/>
  <c r="AT88" i="4" s="1"/>
  <c r="AR74" i="4"/>
  <c r="AT74" i="4" s="1"/>
  <c r="AR167" i="4"/>
  <c r="AT167" i="4" s="1"/>
  <c r="AR119" i="4"/>
  <c r="AT119" i="4" s="1"/>
  <c r="AR160" i="4"/>
  <c r="AT160" i="4" s="1"/>
  <c r="AR36" i="4"/>
  <c r="AT36" i="4" s="1"/>
  <c r="AR96" i="4"/>
  <c r="AT96" i="4" s="1"/>
  <c r="AR193" i="4"/>
  <c r="AT193" i="4" s="1"/>
  <c r="AR29" i="4"/>
  <c r="AT29" i="4" s="1"/>
  <c r="AR49" i="4"/>
  <c r="AT49" i="4" s="1"/>
  <c r="AR54" i="4"/>
  <c r="AT54" i="4" s="1"/>
  <c r="AR66" i="4"/>
  <c r="AT66" i="4" s="1"/>
  <c r="AR77" i="4"/>
  <c r="AT77" i="4" s="1"/>
  <c r="AR174" i="4"/>
  <c r="AT174" i="4" s="1"/>
  <c r="AR145" i="4"/>
  <c r="AT145" i="4" s="1"/>
  <c r="AR176" i="4"/>
  <c r="AT176" i="4" s="1"/>
  <c r="AR172" i="4"/>
  <c r="AT172" i="4" s="1"/>
  <c r="AR12" i="4"/>
  <c r="AT12" i="4" s="1"/>
  <c r="AR155" i="4"/>
  <c r="AT155" i="4" s="1"/>
  <c r="AR117" i="4"/>
  <c r="AT117" i="4" s="1"/>
  <c r="AR126" i="4"/>
  <c r="AT126" i="4" s="1"/>
  <c r="AR125" i="4"/>
  <c r="AT125" i="4" s="1"/>
  <c r="AR178" i="4"/>
  <c r="AT178" i="4" s="1"/>
  <c r="AR95" i="4"/>
  <c r="AT95" i="4" s="1"/>
  <c r="AR195" i="4"/>
  <c r="AT195" i="4" s="1"/>
  <c r="AR69" i="4"/>
  <c r="AT69" i="4" s="1"/>
  <c r="AR51" i="4"/>
  <c r="AT51" i="4" s="1"/>
  <c r="AR41" i="4"/>
  <c r="AT41" i="4" s="1"/>
  <c r="AR65" i="4"/>
  <c r="AT65" i="4" s="1"/>
  <c r="AR102" i="4"/>
  <c r="AT102" i="4" s="1"/>
  <c r="AR97" i="4"/>
  <c r="AT97" i="4" s="1"/>
  <c r="AR43" i="4"/>
  <c r="AT43" i="4" s="1"/>
  <c r="AR94" i="4"/>
  <c r="AT94" i="4" s="1"/>
  <c r="AR86" i="4"/>
  <c r="AT86" i="4" s="1"/>
  <c r="AR100" i="4"/>
  <c r="AT100" i="4" s="1"/>
  <c r="AR143" i="4"/>
  <c r="AT143" i="4" s="1"/>
  <c r="AR131" i="4"/>
  <c r="AT131" i="4" s="1"/>
  <c r="AR115" i="4"/>
  <c r="AT115" i="4" s="1"/>
  <c r="AR133" i="4"/>
  <c r="AT133" i="4" s="1"/>
  <c r="AR60" i="4"/>
  <c r="AT60" i="4" s="1"/>
  <c r="AR31" i="4"/>
  <c r="AT31" i="4" s="1"/>
  <c r="AR22" i="4"/>
  <c r="AT22" i="4" s="1"/>
  <c r="AR37" i="4"/>
  <c r="AT37" i="4" s="1"/>
  <c r="AR5" i="4"/>
  <c r="AT5" i="4" s="1"/>
  <c r="AR53" i="4"/>
  <c r="AT53" i="4" s="1"/>
  <c r="AR90" i="4"/>
  <c r="AT90" i="4" s="1"/>
  <c r="AR19" i="4"/>
  <c r="AT19" i="4" s="1"/>
  <c r="AR113" i="4"/>
  <c r="AT113" i="4" s="1"/>
  <c r="AR105" i="4"/>
  <c r="AT105" i="4" s="1"/>
  <c r="AR58" i="4"/>
  <c r="AT58" i="4" s="1"/>
  <c r="AR64" i="4"/>
  <c r="AT64" i="4" s="1"/>
  <c r="AR182" i="4"/>
  <c r="AT182" i="4" s="1"/>
  <c r="AQ2" i="4"/>
  <c r="AR2" i="4" l="1"/>
</calcChain>
</file>

<file path=xl/sharedStrings.xml><?xml version="1.0" encoding="utf-8"?>
<sst xmlns="http://schemas.openxmlformats.org/spreadsheetml/2006/main" count="5016" uniqueCount="1189">
  <si>
    <r>
      <rPr>
        <b/>
        <sz val="11"/>
        <color theme="1"/>
        <rFont val="Calibri"/>
        <family val="2"/>
        <scheme val="minor"/>
      </rPr>
      <t>Geographical scope</t>
    </r>
    <r>
      <rPr>
        <sz val="11"/>
        <color theme="1"/>
        <rFont val="Calibri"/>
        <family val="2"/>
        <scheme val="minor"/>
      </rPr>
      <t>: Global</t>
    </r>
  </si>
  <si>
    <r>
      <rPr>
        <b/>
        <sz val="11"/>
        <color theme="1"/>
        <rFont val="Calibri"/>
        <family val="2"/>
        <scheme val="minor"/>
      </rPr>
      <t>Background</t>
    </r>
    <r>
      <rPr>
        <sz val="11"/>
        <color theme="1"/>
        <rFont val="Calibri"/>
        <family val="2"/>
        <scheme val="minor"/>
      </rPr>
      <t>: This database is part of the GeoAsset project under the Spatial Finance Initiative. This is a work in progress and is a first step in developing a global, open asset-level databases for the waste management sector, focusing on dumpsites. For more information about this work and access to other industry databases, please visit https://www.cgfi.ac.uk/spatial-finance-initiative/geoasset-project/geoasset-databases/</t>
    </r>
  </si>
  <si>
    <r>
      <rPr>
        <b/>
        <sz val="11"/>
        <color theme="1"/>
        <rFont val="Calibri"/>
        <family val="2"/>
        <scheme val="minor"/>
      </rPr>
      <t>License</t>
    </r>
    <r>
      <rPr>
        <sz val="11"/>
        <color theme="1"/>
        <rFont val="Calibri"/>
        <family val="2"/>
        <scheme val="minor"/>
      </rPr>
      <t>: This work is licensed under the Creative Commons Attribution 4.0 International License. To view a copy of this license, visit http://creativecommons.org/licenses/by/4.0/</t>
    </r>
  </si>
  <si>
    <t>File layout and field descriptions</t>
  </si>
  <si>
    <t>uid</t>
  </si>
  <si>
    <t>dumpsite_name</t>
  </si>
  <si>
    <t>Dumpsite name</t>
  </si>
  <si>
    <t>city</t>
  </si>
  <si>
    <t>The city where the dumpsite is located</t>
  </si>
  <si>
    <t>country</t>
  </si>
  <si>
    <t>The country where the dumpsite is located</t>
  </si>
  <si>
    <t>iso3_code</t>
  </si>
  <si>
    <t>Three-letter country code defined in ISO 3166-1 alpha 3</t>
  </si>
  <si>
    <t>country_code</t>
  </si>
  <si>
    <t>Three-digit country code defined in ISO 3166-1 numeric</t>
  </si>
  <si>
    <t>region</t>
  </si>
  <si>
    <t>Region where the dumpsite is located. Retrieved from United Nations Statistics Division. United Nations Standard Country Code, Series M: Miscellaneous Statistical Papers, No. 49, New York: United Nations. http://unstats.un.org/unsd/methods/m49/m49.htm</t>
  </si>
  <si>
    <t>sub_region</t>
  </si>
  <si>
    <t>Subregion where the dumpsite is located. Retrieved from United Nations Statistics Division. United Nations Standard Country Code, Series M: Miscellaneous Statistical Papers, No. 49, New York: United Nations. http://unstats.un.org/unsd/methods/m49/m49.htm</t>
  </si>
  <si>
    <t>income_category</t>
  </si>
  <si>
    <t>Extracted from the World Bank. Economies are divided among income categories s according to 2022 gross national income (GNI) per capita, calculated using the World Bank Atlas method. The groups are: low income, $1,085 or less; lower middle income, $1,086  to $4,255; upper middle income, $4,256 to $13,205; and high income, $13,206 or more. Available at: https://datatopics.worldbank.org/world-development-indicators/the-world-by-income-and-region.html</t>
  </si>
  <si>
    <t>economy_group</t>
  </si>
  <si>
    <t>Extracted from the World Economic Situation and Prospects (WESP) report prepared by the Economic Analysis and Policy Division (EAPD) of the Department of Economic and Social Affairs of the United Nations Secretariat (UN DESA). The WESP classifies all countries of the world into one of three broad categories: developed economies, economies in transition and developing economies. https://www.un.org/development/desa/dpad/wp-content/uploads/sites/45/WESP2022_ANNEX.pdf</t>
  </si>
  <si>
    <t>gdp_capita_2017</t>
  </si>
  <si>
    <t>It was retrieved from What A Waste Global Database (World Bank, 2024)  https://datacatalog.worldbank.org/search/dataset/0039597 
GDP: gross domestic product. GDP per Capita, PPP (constant 2017 international $). Data source: World Bank’s World Development Indicators. As a country advances economically, its per capita waste generation rates increase. Economic growth is reflected using GDP per capita, with a purchasing power parity adjustment to 2017 to allow for comparison across countries. As defined by: “Kaza, Silpa; Shrikanth, Siddarth; Chaudhary, Sarur. 2021. More Growth, Less Garbage. Urban Development Series. © World Bank, Washington, DC. http://hdl.handle.net/10986/35998 License: CC BY 3.0 IGO.”</t>
  </si>
  <si>
    <t>population_country</t>
  </si>
  <si>
    <t>Population  (number of people in 2022) Data source: World Bank, World Development Indicators. Available at: https://databank.worldbank.org/source/population-estimates-and-projections#</t>
  </si>
  <si>
    <t>waste_capita_2024</t>
  </si>
  <si>
    <t>Best available national waste generation data in metric tonnes per capita per year (Mt/cap/yr) from the World Bank (2024): What A Waste Global Database. Available at: https://datacatalog.worldbank.org/search/dataset/0039597
“Kaza, Silpa; Shrikanth, Siddarth; Chaudhary, Sarur. 2021. More Growth, Less Garbage. Urban Development Series. © World Bank, Washington, DC. http://hdl.handle.net/10986/35998 License: CC BY 3.0 IGO.”</t>
  </si>
  <si>
    <t>latitude</t>
  </si>
  <si>
    <t>Latitude for the geolocation of the dumpsite (based on WGS84 (EPSG:4326))</t>
  </si>
  <si>
    <t>longitude</t>
  </si>
  <si>
    <t>Longitude for the geolocation of the dumpsite (based on WGS84 (EPSG:4326))</t>
  </si>
  <si>
    <t>location_source</t>
  </si>
  <si>
    <t>status</t>
  </si>
  <si>
    <t>year_open</t>
  </si>
  <si>
    <t>waste_type</t>
  </si>
  <si>
    <t xml:space="preserve">In dumpsites, many types of waste can be found. In this study for comparison purposes four categories of waste were used:  ‘Municipal Solid Waste (MSW)’, ‘Hazardous Waste’ and ‘E-Waste’ and unidentified ‘Other Waste’. </t>
  </si>
  <si>
    <t>dumpsite_type</t>
  </si>
  <si>
    <t>annual_waste_disposal</t>
  </si>
  <si>
    <t>waste_disposal_source</t>
  </si>
  <si>
    <t>informal_sector</t>
  </si>
  <si>
    <t>Refers only to the number of people that live and/or working in the dumpsites. “The informal solid waste sector refers to individuals or enterprises who are involved in recycling and waste management activities but are not sponsored, financed, recognized, or allowed by the formal solid waste authorities, or who operate in violation of or in competition with formal author.”  Terms related to informal sector include, informal waste recyclers, waste pickers, informal waste workers, scavengers, Churequeros, etc.</t>
  </si>
  <si>
    <t>informal_sector_source</t>
  </si>
  <si>
    <t>population_10k_radius</t>
  </si>
  <si>
    <t>open_burning</t>
  </si>
  <si>
    <t>open_burning_confidence</t>
  </si>
  <si>
    <t>methane_emissions</t>
  </si>
  <si>
    <t>owner_name</t>
  </si>
  <si>
    <t>owner_type</t>
  </si>
  <si>
    <t>Indicates if dumpsite is publicly owned, privately owned, or co-owned by public and private entities</t>
  </si>
  <si>
    <t>operator</t>
  </si>
  <si>
    <t>owner_source</t>
  </si>
  <si>
    <t>Bishkek</t>
  </si>
  <si>
    <t>GDMDARG0001</t>
  </si>
  <si>
    <t>Mar Del Plata</t>
  </si>
  <si>
    <t>Argentina</t>
  </si>
  <si>
    <t>ARG</t>
  </si>
  <si>
    <t>Latin America and the Caribbean</t>
  </si>
  <si>
    <t>South America</t>
  </si>
  <si>
    <t>Upper middle income</t>
  </si>
  <si>
    <t>Developing economies</t>
  </si>
  <si>
    <t xml:space="preserve">Exact </t>
  </si>
  <si>
    <t>Waste Atlas, D-Waste database. http://www.atlas.d-waste.com/</t>
  </si>
  <si>
    <t>Active</t>
  </si>
  <si>
    <t>Unknown</t>
  </si>
  <si>
    <t>MSW</t>
  </si>
  <si>
    <t>Modelled</t>
  </si>
  <si>
    <t>Yes</t>
  </si>
  <si>
    <t>Public</t>
  </si>
  <si>
    <t>Not applicable</t>
  </si>
  <si>
    <t>GDMDARG0002</t>
  </si>
  <si>
    <t>Gravaz Metalmecánica</t>
  </si>
  <si>
    <t>Global Plastic Watch</t>
  </si>
  <si>
    <t>https://www.reuters.com/article/world/argentine-waste-pickers-find-livelihood-community-in-mountain-of-trash-idUSKCN1UK25L/</t>
  </si>
  <si>
    <t>GDMDARG0003</t>
  </si>
  <si>
    <t>Basural Saenz Peña</t>
  </si>
  <si>
    <t>Roque Sáenz Peña</t>
  </si>
  <si>
    <t>Open street map</t>
  </si>
  <si>
    <t xml:space="preserve">Modelled </t>
  </si>
  <si>
    <t>Municipality of Roque Sáenz Peña</t>
  </si>
  <si>
    <t>In reality, control of this issue corresponds to the municipality, which has cleaned the area several times but without finding alternatives for the underlying problem. https://www.ellitoral.com/area-metropolitana/basural-eterno-sigue-lado-hospital-ninos_0_PawaEwSlg0.html</t>
  </si>
  <si>
    <t>GDMDBGD0001</t>
  </si>
  <si>
    <t>Aminbazar Dumpsite</t>
  </si>
  <si>
    <t>Bangladesh</t>
  </si>
  <si>
    <t>BGD</t>
  </si>
  <si>
    <t>Asia</t>
  </si>
  <si>
    <t>Southern Asia</t>
  </si>
  <si>
    <t>Lower middle income</t>
  </si>
  <si>
    <t>No</t>
  </si>
  <si>
    <t>Dhaka North City Corporation (DNCC)</t>
  </si>
  <si>
    <t>GDMDBGD0002</t>
  </si>
  <si>
    <t>Matuail landfill</t>
  </si>
  <si>
    <t>Dhaka</t>
  </si>
  <si>
    <t>https://rpn.gov.ru/activity/regulation/kadastr/groro/</t>
  </si>
  <si>
    <t>Dhaka South City Corporation (DSCC)</t>
  </si>
  <si>
    <t>GDMDBOL0001</t>
  </si>
  <si>
    <t>K'ARA K'ARA</t>
  </si>
  <si>
    <t>Cochabamba</t>
  </si>
  <si>
    <t>Bolivia</t>
  </si>
  <si>
    <t>BOL</t>
  </si>
  <si>
    <t xml:space="preserve">THE WORLD'S 50 BIGGEST DUMPSITES, WASTE ATLAS REPORT 2014 </t>
  </si>
  <si>
    <t>THE WORLD'S 50 BIGGEST DUMPSITES, WASTE ATLAS REPORT 2014 
The K’ara K’ara dumpsite is located in Cochabamba, Bolivia and is about 25 ha in size. The total amount of waste in this landfill is estimated to be between 2.8 and 4 million tonnes; the Ministry of Environment and Water (2010) considers it to be a controlled disposal site. chabamba is one of the biggest cities in Bolivia and generates about 500 tons of domestic waste a day, of which 61 per cent is organic and 18 per cent is recyclable (Rodic, 2015a). According to: https://www.grida.no/resources/5031 Year: 2016
From collection: Waste Management Outlook for Mountain Regions - Sources and Solutions. Cartographer: Hisham Ashkar</t>
  </si>
  <si>
    <t>“Kanata” Cochabamba Metropolitan Region</t>
  </si>
  <si>
    <t>Municipal Cleaning Service Company (EMSA)(public company)</t>
  </si>
  <si>
    <t>Local authorities in Bolivian city Cochabamba have given permission for the area's K'ara K'ara landfill to remain open for another six months, ending a five-day standoff between waste collection services and local residents who were blocking the landfill's entrance.  Following the agreement, local waste authority EMSA resumed waste collection services in the city, which produces some 400t/d of garbage. Local authorities are now preparing an alternative landfill in Arrumani, which will act as an emergency site until a solid waste treatment plant is built, the report said. Local firm Colina has been hired to close and clean up the K'ara K'ara landfill. The initiative will cost some US$5.8mn and could take up to 15 years, according to environmental groups. https://www.bnamericas.com/en/news/K*ara_K*ara_landfill_to_remain_open_for_six_months
The streets of Cochabamba have accumulated at least 5,000 tons of garbage that have not been able to be collected and deposited in the K’ara K’ara sanitary landfill for at least 10 days, the technical manager of the Municipal Cleaning Service Company (EMSA) Moisés Atue told EFE on Wednesday. https://www.laprensalatina.com/bolivian-city-again-fills-with-garbage-amid-health-political-crises/
The main municipality Cercado (with the city of Cochabama) generates around 500 tons of MSW a day. The total output of the seven municipalities is approximately 680 tons a day: 75% of the waste of the entire Department. The current Cochabamba waste disposal site K'ara K'ara will have to be closed in two years. This is why the Kanata region is planning a joint waste treatment site including the following approaches: https://www.rvo.nl/sites/default/files/2015/06/Bolivia_Report_definitief.pdf
https://d-lab.mit.edu/news-blog/blog/creative-capacity-building-circular-economy-design-cochabamba-bolivia-part-1</t>
  </si>
  <si>
    <t>GDMDBRA0001</t>
  </si>
  <si>
    <t>Brazil</t>
  </si>
  <si>
    <t>BRA</t>
  </si>
  <si>
    <t>GDMDBRA0002</t>
  </si>
  <si>
    <t>GDMDBRA0003</t>
  </si>
  <si>
    <t>Teixeira de Freitas
Municipality</t>
  </si>
  <si>
    <t>https://en.wikipedia.org/wiki/Teixeira_de_Freitas</t>
  </si>
  <si>
    <t>GDMDBRA0004</t>
  </si>
  <si>
    <t>Guaicurus</t>
  </si>
  <si>
    <t>Corumbá Municipality</t>
  </si>
  <si>
    <t>https://en.wikipedia.org/wiki/Corumb%C3%A1</t>
  </si>
  <si>
    <t>GDMDBRA0005</t>
  </si>
  <si>
    <t>GDMDBRA0006</t>
  </si>
  <si>
    <t>Codó</t>
  </si>
  <si>
    <t>GDMDCHN0001</t>
  </si>
  <si>
    <t>Hysacam dumpsite</t>
  </si>
  <si>
    <t>Douala</t>
  </si>
  <si>
    <t>China</t>
  </si>
  <si>
    <t>CMR</t>
  </si>
  <si>
    <t>Africa</t>
  </si>
  <si>
    <t>Middle Africa</t>
  </si>
  <si>
    <t>GDMDCMR0001</t>
  </si>
  <si>
    <t>Cameroon</t>
  </si>
  <si>
    <t>CHN</t>
  </si>
  <si>
    <t>Eastern Asia</t>
  </si>
  <si>
    <t>GDMDCOL0001</t>
  </si>
  <si>
    <t>Colombia</t>
  </si>
  <si>
    <t>COL</t>
  </si>
  <si>
    <t>GDMDDJI0001</t>
  </si>
  <si>
    <t>Djibouti</t>
  </si>
  <si>
    <t>DJI</t>
  </si>
  <si>
    <t>Eastern Africa</t>
  </si>
  <si>
    <t>djiboutinature.org  
www.smallstepsproject.org
JOHN RIBAR,Current Landfill Construction Practices in Djibouti, Africa, COMMONGROUND,18 MAY 2011
commonground.edrnet.com</t>
  </si>
  <si>
    <t>GDMDDOM0001</t>
  </si>
  <si>
    <t>Santo Dominigo</t>
  </si>
  <si>
    <t>Dominican Republic</t>
  </si>
  <si>
    <t>DOM</t>
  </si>
  <si>
    <t>Caribbean</t>
  </si>
  <si>
    <t xml:space="preserve">MSW, Hazardous Waste </t>
  </si>
  <si>
    <t xml:space="preserve">THE WORLD'S 50 BIGGEST DUMPSITES, WASTE ATLAS REPORT 2014 
https://cdm.unfccc.int/Projects/DB/SGS-UKL1242828888.09/view
The largest open-air landfill in Latin America is closing down · In touristy Dominican Republic, over 4,000 tons of waste are unloaded every day https://english.elpais.com/international/2023-08-22/the-largest-open-air-landfill-in-latin-america-is-closing-down.html </t>
  </si>
  <si>
    <t>Dominican Republic's government - Ministry of Public Works</t>
  </si>
  <si>
    <t>Santo Domingo East Sanitary Landfill Consortium (COSELA)</t>
  </si>
  <si>
    <t>The World Bank website provides information on the La Duquesa landfill and states that it is owned and operated by the Dominican Republic's government through the Ministry of Public Works and Communications: https://www.worldbank.org/en/results/2018/04/10/dominican-republic-improving-solid-waste-management-services
The Inter-American Development Bank (IDB) report "Dominican Republic: Improving Solid Waste Management Services" provides further details on the ownership and management of the La Duquesa landfill: https://publications.iadb.org/publications/english/document/Dominican-Republic-Improving-Solid-Waste-Management-Services.pdf
An article by El Dia newspaper titled "COSELA celebrates 16 years of operation in Duquesa" confirms that COSELA is responsible for the day-to-day operation and maintenance of the La Duquesa landfill: https://eldia.com.do/cosela-celebra-16-anos-de-operacion-en-duquesa/
According to an article by the Inter-American Development Bank (IDB) titled "Improving solid waste management in the Dominican Republic", the La Duquesa landfill is owned and operated by the Dominican Republic's government through the Ministry of Public Works and Communications, and is managed by the Santo Domingo East Sanitary Landfill Consortium (COSELA), a public-private partnership that includes the Dominican Republic's government and several private companies: https://www.iadb.org/en/news/improving-solid-waste-management-dominican-republic
The World Bank's project page on solid waste management in the Dominican Republic confirms that the La Duquesa landfill is owned and operated by the Dominican Republic's government, and is managed by COSELA: https://projects.worldbank.org/en/projects-operations/project-detail/P154131</t>
  </si>
  <si>
    <t>GDMDDOM0002</t>
  </si>
  <si>
    <t>Calle 3ra</t>
  </si>
  <si>
    <t>GDMDEGY0001</t>
  </si>
  <si>
    <t>Difrah</t>
  </si>
  <si>
    <t>Egypt</t>
  </si>
  <si>
    <t>EGY</t>
  </si>
  <si>
    <t>Northern Africa</t>
  </si>
  <si>
    <t>Difrah municipality</t>
  </si>
  <si>
    <t>https://en.wikipedia.org/wiki/Al_Dhafrah_Region_Municipality</t>
  </si>
  <si>
    <t>GDMDETH0001</t>
  </si>
  <si>
    <t>Koshe</t>
  </si>
  <si>
    <t>Addis Ababa</t>
  </si>
  <si>
    <t>Ethiopia</t>
  </si>
  <si>
    <t>ETH</t>
  </si>
  <si>
    <t>Low income</t>
  </si>
  <si>
    <t>Google maps
ADDIS ABABA SOLID WASTE MANAGEMENT AND REPI LANDFILL,DANIEL FIKREYESUS,AFRICA CARBON FORUM,6 JULY 2011,GLOBAL METHANE INITIATIVE
www.nelsonelson.com</t>
  </si>
  <si>
    <t>The landfill has been a dumping ground rubbish for more than 50 years and it is currently the biggest of the country. City officials say close to 300,000 tonnes of waste are collected each year from the estimated four million resident’s capital. About 500 qorales—the local term for small-scale unregistered waste collectors – are believed to work at the landfill every day, scavenging for food and items they can sell such as recyclable metal sorting through the debris. https://ejatlas.org/conflict/koshe-landfill</t>
  </si>
  <si>
    <t>https://ejatlas.org/conflict/koshe-landfill</t>
  </si>
  <si>
    <t>The Addis Ababa city Government</t>
  </si>
  <si>
    <t xml:space="preserve">The massive rubbish dump known as Koshe (that it means dirt in Aramaic) or Repi or Reppi in the outskirts of Addis Ababa. The massive rubbish dump known as Koshe or Repi or Reppi in the outskirts of Addis Ababa slid down on 11 March 2017 provoking the death of at least 113 waste-pickers and a dozen of injured. 
The informal plastics recovery system is particularly efficient, in that an estimated high volume of plastic materials (23 tons) is informally collected and recycled. However, the municipality has never developed any systematic efforts to integrate the informal waste collectors into the formal waste management system and their significant contribution to waste reduction, reuse and recycling was either unrecognized or ignored.
https://ejatlas.org/conflict/koshe-landfill
In 2016, the local authority tried to close the site and relocate dumping to a new landfill site at Sendafa but opposition by local farmers caused the rubbish collectors to move back.[4][5]
In March 2017, a landslide at the site killed more than 113 people, as recovery continues the death toll is expected to rise.
Dumping of waste at Koshe landfill began in 1964, prior to that year, it was an unofficial site for burning dead animals.[11] The landfill is located in Southwest Addis Ababa within the boundaries of Nifas Silk-Lafto and Kolfe Keranio.[12] When Koshe became active, the surrounding area was sparsely populated and beyond the municipal master plan for Addis Ababa. The landfill hosts about 500 scavengers who sell recovered materials from the waste to businesses and farmers.[13]
 https://en.wikipedia.org/wiki/Koshe
The Addis Ababa city Government asked UN-Habitat to support the rehabilitation of this dumpsite, to avoid additional incidents or additional risk to the surrounding community. https://unhabitat.org/news/05-jul-2019/after-the-tragic-landslide-that-killed-116-koshe-landfill-in-addis-ababa-is-safer
Photos and video: https://unhabitat.org/news/05-jul-2019/after-the-tragic-landslide-that-killed-116-koshe-landfill-in-addis-ababa-is-safer
More sources: 
https://www.theguardian.com/cities/2014/aug/22/inside-addis-ababa-koche-rubbish-tip-ethiopia
https://blogs.agu.org/landslideblog/2017/03/17/koshe-1/
https://borgenproject.org/tag/the-koshe-dump-site/
https://ejatlas.org/conflict/koshe-landfill
https://en.wikipedia.org/wiki/Reppie_waste-to-energy_plant#:~:text=The%20Reppie%20waste%2Dto%2Denergy,and%20Addis%20Ababa%20City%20Administration.
</t>
  </si>
  <si>
    <t>GDMDGHA0001</t>
  </si>
  <si>
    <t>Bakoteh</t>
  </si>
  <si>
    <t>Ghana</t>
  </si>
  <si>
    <t>GMB</t>
  </si>
  <si>
    <t>Western Africa</t>
  </si>
  <si>
    <t>THE GAMBIA NATIONAL STRATEGY FOR SANITATION AND HYGIENE, MINISTRY OF HEALTH AND SOCIAL WELFARE, BANJUL, MARCH 2011_x000D_
 _x000D_
THE GABIAN AGENCY FOR THE MANAGEMENT OF PUBLIC WORKS (GAMWORKS),PRELIMINARY AND DETAILED ENGINEERING DESIGN STUDY OF BAKOTEH DUMP SITE, FINAL REPORT,AUGUST 2004</t>
  </si>
  <si>
    <t>GDMDGMB0001</t>
  </si>
  <si>
    <t>JOHR AL DEEK</t>
  </si>
  <si>
    <t>Gaza City</t>
  </si>
  <si>
    <t>Gambia</t>
  </si>
  <si>
    <t>PSE</t>
  </si>
  <si>
    <t>Western Asia</t>
  </si>
  <si>
    <t>THE WORLD'S 50 BIGGEST DUMPSITES, WASTE ATLAS REPORT 2014 
The landfill is operated by Gaza Municipality and receives an average of 700 ton/day from Gaza city and North Gaza governorates, knowing that the generated waste quantities
are estimated at 1,100 ton per/day; but the generated waste in North Gaza Governorate (Jabalia, Bet Lahya, Bet Hanoun, and Um Al-Nasr), which is about 400 tons/day, is transferred
instead to one of the three random dumpsites in Jabalia, Bet Lahya, and Bet Hanon. The accumulated quantity of waste in dumpsites in North Gaza estimated at 250,000 tons.
Municipalities in North Gaza use part of external financial supports for transferring these quantities to Johr Al-Diek landfill. https://www.cesvi.eu/wp-content/uploads/2019/12/SWM-in-Palestine-report-Thoni-and-Matar-2019_compressed-1.pdf</t>
  </si>
  <si>
    <t>Gaza Municipality</t>
  </si>
  <si>
    <t>Johr Al-Diek Landfill (JAD) was built in 1986 and extended in 1990, 2000, and 2013. The landfill is located in the south-eastern part of Gaza Governorate near the border line (the 1950 armistice line) with Israel. The total dumping area of the landfill in the first phase was 30,000 m2, the landfill was expanded with new liner, leachate collection system, and leachate lagoon bringing the total dumping area (footprint of the landfill) to 140,000 m2. Additional
adjacent 120,000 m2 has been acquired in 2018 to be use in the near future, knowing that the existing landfill is almost full. In this landfill, there was also a hazardous waste disposal cell, with encapsulation in concrete boxes. It is the only hazardous waste disposal site in Palestine.
The landfill is operated by Gaza Municipality. The new activated council JSC-GN is finally in place late of 2017; consultation is carried out in order to transfer the responsibility of the landfill operation from the municipality of Gaza to JSC-GN, but no agreement was signed yet.https://www.cesvi.eu/wp-content/uploads/2019/12/SWM-in-Palestine-report-Thoni-and-Matar-2019_compressed-1.pdf</t>
  </si>
  <si>
    <t>GDMDGRC0001</t>
  </si>
  <si>
    <t>Sofa (Rafah)</t>
  </si>
  <si>
    <t>Rafah</t>
  </si>
  <si>
    <t>Greece</t>
  </si>
  <si>
    <t>MSW, Other Waste</t>
  </si>
  <si>
    <t>SC-KRM</t>
  </si>
  <si>
    <t>It is operated by JSC-KRM since July 2019 by receiving waste from Middle Area, Khan Younis, and Rafah Governorates (17 municipalities which constitute JSC-KRM). 
Al-Fukhary (Sofa) disposal site is located within the administrative jurisdictions of Khan Younis Governorate; Khan Younis Governorate is located in the southern part of Gaza Strip. The existing dumpsite: It was operated since 1996 by Municipality of Rafah, and it received the municipal solid waste from Rafah governorate only. The dump site was created over an area 26,000 m2, given that the height of waste reached up to 30 m in 2017 with a very steep side slope (1V:1H). The dumpsite doesn’t utilize a liner system but only leachate collection pipe dissecting the 6-8m deep bottom over a silty clay layer; the leachate collection system was out of action few years after the operation of the dumpsite. The existing dumpsite was extended over adjacent 11,000 m2 land
in 2018 as a short-term solution to gentle the side slopes to be more stable and safer.
Leachate collection system was created in the extension part in order to be connected with the leachate lagoon in the near future. The existing dumpsite continued receiving the daily coming waste (about 170 ton/day) until July 2019.
https://www.cesvi.eu/wp-content/uploads/2019/12/SWM-in-Palestine-report-Thoni-and-Matar-2019_compressed-1.pdf</t>
  </si>
  <si>
    <t>GDMDGTM0001</t>
  </si>
  <si>
    <t>Accra</t>
  </si>
  <si>
    <t>Guatemala</t>
  </si>
  <si>
    <t>GHA</t>
  </si>
  <si>
    <t>THE WORLD'S 50 BIGGEST DUMPSITES, WASTE ATLAS REPORT 2014 
Up to 10,000 workers wade through tons of discarded goods as part of an enormous, informal recycling process, in what has become one of the world’s largest destinations for used electronic goods. https://www.bloomberg.com/news/articles/2019-05-29/the-rich-world-s-electronic-waste-dumped-in-ghana
Table 2 below shows the monthly tonnage of waste generated in the Ga East Municipality
and the proportion that is collected and deposited at the Abokobi Landfill site. Out of the 2760
tonnes of waste generated in 2013, only about 1931 tonnes are collected and deposited at the
landfill site.
The Ga East Municipality habours one of the biggest landfill sites in the Greater Accra Region,
that is, the Abokobi Lanfill site. This site was created in 2008 and has been used as a waste dump
site by municipalities in the catchment area and beyond. However, the use of the dump site has
been restricted to only catchment municipalities including Ga East, La Nkwantanang and Adenta
since 2013 due to limited space at the Abokobi Landfill site to accommodate the ever-increasing
volume of solid wastes generated. 
The Abokobi Landfill is being managed by Zoomlion Ghana
Ltd, but other waste contractors dump waste at the site as well. The total waste deposited at the
Landfill site by the end of 2013 was estimated around 115,903 tonnes 
 http://samsetproject.net/wp-content/uploads/2016/02/Policy-case-study-Waste-to-energy-in-Awutu-Senya-and-Ga-East-Municipalities.pdf</t>
  </si>
  <si>
    <t>Accra Metropolitan Assembly (AMA)</t>
  </si>
  <si>
    <t>Ga East Municipality</t>
  </si>
  <si>
    <t>Agbogbloshie, located in Accra, Ghana, is one of the largest electronic waste (e-waste) dumpsites in the world.
The Accra Metropolitan Assembly (AMA) will on Friday (28th April 2023) organise a clean-up exercise at the Agbogbloshie market. he decision to embark on the clean-up exercise was firmed up at a stakeholder engagement held between the Greater Accra Regional Minister, Hon. Henry Quartey, the Mayor of Accra, Hon. Elizabeth K.T Sackey, representatives of the Ablekuma Central Municipal Assembly (ABcMA) as well as leadership of the markets to map out strategies to clean choked drains in the market to prevent flooding and improve sanitation. https://ama.gov.gh/news-details.php?n=cTA4NTFxODQxNm9vNHByM3JyMjk2cW41NTg0M3M4bzc0NW40OTc4MA==
Controlled dumping of waste is ongoing at the Abokobi landfill site due to the absence of alternative dumpsites in the Ga East Municipality, Mr John Kwao Sackey, the Municipal Chief Executive, has stated.
The landfill is currently full and waste management operators working in the municipality have been directed to dump at Kpone and Nsumia, which are quite a distance from the Ga East Municipality. https://www.graphic.com.gh/news/general-news/controlled-dumping-of-refuse-at-abokobi-landfill-site.html
http://samsetproject.net/wp-content/uploads/2016/02/Policy-case-study-Waste-to-energy-in-Awutu-Senya-and-Ga-East-Municipalities.pdf
Photos: https://www.theguardian.com/environment/gallery/2014/feb/27/agbogbloshie-worlds-largest-e-waste-dump-in-pictures
https://www.swissinfo.ch/eng/society/the-battle-against-global-e-waste-dumping-reaches-tipping-point/47445264</t>
  </si>
  <si>
    <t>GDMDHND0001</t>
  </si>
  <si>
    <t>Ierapetra</t>
  </si>
  <si>
    <t>Honduras</t>
  </si>
  <si>
    <t>GRC</t>
  </si>
  <si>
    <t>Europe</t>
  </si>
  <si>
    <t>Southern Europe</t>
  </si>
  <si>
    <t>High income</t>
  </si>
  <si>
    <t>Developed economies</t>
  </si>
  <si>
    <t>Waste Atlas, D-Waste Database http://www.atlas.d-waste.com/</t>
  </si>
  <si>
    <t>GDMDHTI0001</t>
  </si>
  <si>
    <t>Guatemala City</t>
  </si>
  <si>
    <t>Haiti</t>
  </si>
  <si>
    <t>GTM</t>
  </si>
  <si>
    <t>Central America</t>
  </si>
  <si>
    <t>THE WORLD'S 50 BIGGEST DUMPSITES, WASTE ATLAS REPORT 2014 
The largest dumpsite in Central America, El Trebol began in 1966 and receives about 300,000 tons of household, commercial, industrial and medical waste each year.  It is estimated that 2,000 recyclers, or “guajeros” work at the site.  Underground fires with acrid smoke sporadically break out at the dump.  Pungent smells, insects and animals fills the residential communities surrounding the dump, and leachate from the dumpsite drains into the Zaila and Chinautla rivers. According to: https://www.intsam.org/guatemala/</t>
  </si>
  <si>
    <t>Central Municipality in Guatemala City</t>
  </si>
  <si>
    <t xml:space="preserve">As for the ownership and management, the El Trebol landfill is owned by the Municipal Government of Guatemala City and is operated by the municipal waste management company, EMAB.
According to: LjiljanaRodić and Jessica Bethancourt, Rehabilitation of the Waste Dumpsite in Guatemala City, ISWA World Solid Waste 
Congress 2012, 17-19 Sept. 2012, Florence, Italy, Available at: http://edepot.wur.nl/261803 </t>
  </si>
  <si>
    <t>GDMDIDN0001</t>
  </si>
  <si>
    <t>Trutier</t>
  </si>
  <si>
    <t>Port-Aij_Prince</t>
  </si>
  <si>
    <t>Indonesia</t>
  </si>
  <si>
    <t>HTI</t>
  </si>
  <si>
    <t>THE WORLD'S 50 BIGGEST DUMPSITES, WASTE ATLAS REPORT 2014 
Dump trucks roar 24 hours a day, leaving 100,000 tons of waste each month across 200 acres. https://apnews.com/article/50c5062763b64fe297b643815fbd6568</t>
  </si>
  <si>
    <t>Haiti’s government</t>
  </si>
  <si>
    <t>Service national de Gestion des Résidus Solides (SNGRS)</t>
  </si>
  <si>
    <t xml:space="preserve">
Photos: https://www.thenationalnews.com/world/the-americas/surviving-the-dump-in-haiti-in-pictures-1.769489
https://nationalpost.com/news/world/haitians-scour-the-countrys-largest-trash-dump
In urban areas not covered by the National Solid Waste Management Service (SNGRS) and municipalities, the garbage collection service is largely provided by informal collectors offering a low-cost service accessible to households, formal and informal enterprises. https://www.trade.gov/country-commercial-guides/haiti-waste-management
The Service Métropolitain de Collecte des Résidus Solides (SMCRS) or Metropolitan Solid Waste Collection Service was established in 1981 by Haiti’s government to collect and hygienically dispose of solid waste generated in the Greater Port-auPrince Area. https://documents.plateforme-re-sources.org/wp-content/uploads/2017/02/A127-Decharge-Recuperateurs_Haiti.pdf</t>
  </si>
  <si>
    <t>GDMDIDN0002</t>
  </si>
  <si>
    <t>Tegucigalpa</t>
  </si>
  <si>
    <t>HND</t>
  </si>
  <si>
    <t xml:space="preserve">THE WORLD'S 50 BIGGEST DUMPSITES, WASTE ATLAS REPORT 2014 
Photos: https://www.scmp.com/photos/today-photos/3157872/widespread-poverty-has-some-hondurans-living-rubbish?page=10
https://www.gilesnclarke.com/honduras-dump-life
https://christianchronicle.org/a-day-at-the-dump-ministry-serves-the-hardworking-poor-in-honduras/
https://connormorgan123.wixsite.com/hondurashelp/the-dump
</t>
  </si>
  <si>
    <t>The municipality of Tegucigalpa</t>
  </si>
  <si>
    <t>While all the subprojects were initially coordinated and managed by the city of Stockholm and the municipality of Tegucigalpa, it was a group of private consultants (SWECO International, Ingeniería y Ambiente de Sula, Sverker Snidare AB and staff from Karolinska Sjukhuset), who made sure that the subprojects reached their objectives within the pre-set time frames and budget lines. The Swedish advisors also made a proposal to the Municipality of Tegucigalpa that the new landfi ll
(the existing dump site was full) and management of the waste would be privatised and that the new landfi ll should be administered through a long-term contract. Moreover, the advisors proposed that the
municipality be responsible for the location, the technical specifi cations and the design of the new landfi ll. The old dump site as well as the new landfi ll is still managed by the municipality.
According to: Publication type: Sida Evaluation, Published on the website: 2006-11-03, Published: 2006, Author: Camilla Andersson, Sergio Albio González,  Solid Waste Management and the Environment in Tegucigalpa. https://www.sida.se/en/publications/solid-waste-management-and-the-environment-in-tegucigalpa
The Association of Municipalities in Honduras (Asocciación de Municipios de Honduros, hereinafter “AMHON”) is an association of municipalities which plays a central role in waste management. However, the members are aware that they lack capacity to implement waste management (e.g. they are not aware of how much sanitary landfill operation would normally cost), and they hope that JICA would support them for the capacity building. https://openjicareport.jica.go.jp/pdf/12091898.pdf</t>
  </si>
  <si>
    <t>GDMDIDN0003</t>
  </si>
  <si>
    <t>Mumbai</t>
  </si>
  <si>
    <t>IND</t>
  </si>
  <si>
    <t>Brihanmumbai Municipal Corporation Integrated Solid Waste Management</t>
  </si>
  <si>
    <t>Mumbai, the financial capital of India, produces on an average, 6,000 Ton5 of Municipal Solid Waste (MSW) per day. Municipal Corporation of Greater Mumbai (MCGM) is the agency responsible for Solid Waste Management (SWM) in the City.
Presently there are three dumping grounds in Mumbai, viz Deonar, Mulund and Gorai. A new site is proposed at Kanjur Village to accommodate the increasing waste
MCGM has emphasized on developing the Landfill sites on Public Private Partnership (PPP) framework. The successful bidderwill be chosen by International Competitive Bidding.
https://www.mcgm.gov.in/irj/portal/anonymous/qllandfillMgmt?guest_user=english</t>
  </si>
  <si>
    <t>GDMDIDN0004</t>
  </si>
  <si>
    <t>DEONAR</t>
  </si>
  <si>
    <t xml:space="preserve">THE WORLD'S 50 BIGGEST DUMPSITES, WASTE ATLAS REPORT 2014 
 Deonar landfill received about 5,500 metric tonnes of waste per day. This is equivalent to about 2 million metric tonnes of waste per year. According to Expression of Interest (EOI) for “Assessments for Scientific PreClosure of Deonar Dumping Site, Mumbai and Development of Project Monitoring Plan”: https://neeri.res.in/file_homes/21953395_EOI_Document_of_Deonar_Dumping_site_12_5_20.pdf </t>
  </si>
  <si>
    <t>Municipal Corporation of Greater Mumbai (MCGM), or Brihanmumbai Municipal Corporation (BMC)</t>
  </si>
  <si>
    <t>The Deonar Dumpsite is owned by the Municipal Corporation of Greater Mumbai (MCGM), which is the governing body of the city of Mumbai. The MCGM is responsible for the management and operation of the landfill.
The Municipal Corporation of Greater Mumbai (MCGM), also known as Brihanmumbai Municipal Corporation (BMC).
"In Mumbai, the Municipal Corporation of Greater Mumbai (MCGM) is responsible for the collection, transportation, treatment, and disposal of solid waste. The Deonar Dumpsite, the largest landfill in Mumbai, is operated by MCGM and receives an average of 5,500 to 6,000 metric tons of waste per day." https://www.mcgm.gov.in/irj/portal/anonymous/qllandfillMgmt?guest_user=english</t>
  </si>
  <si>
    <t>GDMDIDN0005</t>
  </si>
  <si>
    <t>Howrah</t>
  </si>
  <si>
    <t>Municipal Corporation of Greater Mumbai</t>
  </si>
  <si>
    <t>Brihanmumbai Municipal Corporation (BMC)</t>
  </si>
  <si>
    <t>Extracted Links:
https://byjus.com/question-answer/which-is-the-largest-dumping-ground-in-india-deonar-dumping-groundmavallipura-landfill-sitechennai-corporation-dump/#:~:text=In%20India%2C%20the%20Deonar%20dumping,of%20the%20city%20is%20dumped.
https://www.shaktiplasticinds.com/waste-management-in-kolkata-all-you-need-to-know/#:~:text=The%20problem%20of%20waste%20management%20is%20a%20very%20serious%20one,for%20the%20residents%20of%20Kolkata.
https://en.wikipedia.org/wiki/Dhapa,_India#:~:text=Dhapa%20is%20a%20locality%20on,city%20of%20Kolkata%20are%20dumped.
https://en.wikipedia.org/wiki/Deonar_dumping_ground#:~:text=The%20Deonar%20dumping%20ground%20is,ground%2C%20set%20up%20in%201927.
https://www.sciencedirect.com/science/article/pii/S2772390922000038
https://timesofindia.indiatimes.com/city/kolkata/howrah-garbage-ngt-notice-to-govt-agencies/articleshow/109605503.cms
https://www.millenniumpost.in/bengal/hakim-launches-bio-mining-of-legacy-waste-at-howrah-dumping-ground-518006
https://timesofindia.indiatimes.com/city/kolkata/nine-injured-as-howrah-garbage-dump-collapses/articleshow/4586541.cms
https://www.tandfonline.com/doi/pdf/10.1080/10962247.2014.896834
https://citizenmatters.in/kolkata-solid-waste-management-dhapa-howrah-belgachhia-landfills-segregation/
https://www.telegraphindia.com/west-bengal/garbage-giant-gulps-howrah/cid/1500242
https://ui.adsabs.harvard.edu/abs/2022CLSC....300030P/abstract
https://www.hindustantimes.com/cities/lucknow-news/18-foetuses-found-at-municipal-dumping-ground-in-west-bengal-101660666346818.html</t>
  </si>
  <si>
    <t>GDMDIDN0006</t>
  </si>
  <si>
    <t>PIRANA</t>
  </si>
  <si>
    <t>Ahmedabad</t>
  </si>
  <si>
    <t>https://www.google.com/maps/place/Pirana+Landfill+Site/@22.9805618,72.5660253,15z/data=!4m6!3m5!1s0x395e857823495325:0x1c6dece849acaaf4!8m2!3d22.9805618!4d72.5660253!16s%2Fg%2F11fz9y8nck?entry=ttu</t>
  </si>
  <si>
    <t>Spreading over an area of 84 hectares, the Pirana landfill has been the city’s major dumping yard since 1982. Every day, the Ahmedabad Municipal Corporation (AMC) collects approximately 4,700 metric tonnes of solid waste to dispose of at the landfill. The landfill is characterised by three 75-feet-high massive mounds of garbage, each weighing 69 lakh metric tonnes.
From 1982, Pirana has been Ahmedabad’s garbage dumping spot and has today become an unmanageable mess where frequent fires and unsegregated waste are regular occurrence.
Every day, the Ahmedabad Municipal Corporation (AMC) collects approximately 4,700 metric tonnes of solid waste to dispose of at the landfill. The landfill is characterised by three 75-feet-high massive mounds of garbage, each weighing 69 lakh metric tonnes.https://swachhindia.ndtv.com/nearing-35-years-ahmedabads-pirana-landfill-is-infamous-for-its-garbage-mountains-and-frequent-fires-11855/</t>
  </si>
  <si>
    <t>https://swachhindia.ndtv.com/nearing-35-years-ahmedabads-pirana-landfill-is-infamous-for-its-garbage-mountains-and-frequent-fires-11855/</t>
  </si>
  <si>
    <t>Ahmedabad Municipal Corporation (AMC)</t>
  </si>
  <si>
    <t>A statement from Ahmedabad Muncipal Corporation states that  ..
Read more at:
http://timesofindia.indiatimes.com/articleshow/90300841.cms?utm_source=contentofinterest&amp;utm_medium=text&amp;utm_campaign=cppst
Every day, the Ahmedabad Municipal Corporation (AMC) collects approximately 4,700 metric tonnes of solid waste to dispose of at the landfill. The landfill is characterised by three 75-feet-high massive mounds of garbage, each weighing 69 lakh metric tonnes. https://swachhindia.ndtv.com/nearing-35-years-ahmedabads-pirana-landfill-is-infamous-for-its-garbage-mountains-and-frequent-fires-11855/</t>
  </si>
  <si>
    <t>GDMDIDN0007</t>
  </si>
  <si>
    <t>GDMDIDN0008</t>
  </si>
  <si>
    <t>DHAPA</t>
  </si>
  <si>
    <t>Kolkata</t>
  </si>
  <si>
    <t>https://www.google.com/maps/place/KMC+Dhapa+Garbage+Dumping+Ground/@22.5389431,88.4207368,671m/data=!3m1!1e3!4m12!1m5!3m4!2zMjLCsDMyJzIwLjIiTiA4OMKwMjUnMjMuOSJF!8m2!3d22.5389382!4d88.4233117!3m5!1s0x3a0275968f1f0217:0x4f65a09fd9608b35!8m2!3d22.537364!4d88.424534!16s%2Fg%2F11sppnypdb?entry=ttu</t>
  </si>
  <si>
    <t>Thousands of people live on and around the Dhapa landfill in India, where 4,000 tonnes of waste are dumped each day. Many make a living processing the city’s rubbish amid severe pollution, fires – and even dead bodies. So what is life like for its residents?
Dhara is one of around 30,000 people who live on and around Kolkata’s landfill site at Dhapa. Garbage collectors like Dhara clean up after the city’s 4.5 million people, and dump around four thousand metric tonnes of waste at Dhapa every day. A garbage processing industry has since sprung up on the site. In the slums at the base of the mountains of rubbish, hundreds of people make a living as ragpickers or scrap dealers, by sorting the waste and recycling. In a cremation centre on site, unidentified dead bodies – most of them corpses of hawkers or street dwellers – are burned.
 https://www.theguardian.com/cities/2016/oct/24/difficult-breathe-inside-kolkata-india-rubbish-dump-permanently-fire
At present, Dhapa and surroundings are home to more than 30,000 people. A majority of them are ragpickers and waste collectors who make a living selling waste and scrap, while many are also into farming, growing and supplying green vegetables to Kolkata’s markets. https://swachhindia.ndtv.com/kolkatas-landfill-crisis-the-citys-dependency-on-the-sole-landfill-of-dhapa-may-soon-result-in-an-unresolvable-crisis-11618/</t>
  </si>
  <si>
    <t xml:space="preserve"> https://www.theguardian.com/cities/2016/oct/24/difficult-breathe-inside-kolkata-india-rubbish-dump-permanently-fire</t>
  </si>
  <si>
    <t>Kolkata Municipal Corporation (KMC)</t>
  </si>
  <si>
    <t>Chatterjee, who oversees the Kolkata Municipal Corporation, says his government does not have the funds to manage the landfill site at Dhapa. “Being mayor, I want to see the landfill site but where do I get the money? They should pay to shift the site. Now we have become helpless, we can’t help the people living there for more the 30 years. There are at least 20-30,000 houses on there and we can’t do anything. We’re helpless.” https://www.theguardian.com/cities/2016/oct/24/difficult-breathe-inside-kolkata-india-rubbish-dump-permanently-fire
The Dhapa landfill has colonial history attached to it, as it was set up in 1941 when the British still ruled India.  More than 4,000 metric tonnes of waste is dumped at the Dhapa landfill every day, which has become a sitting garbage mountain. When last measured by the Kolkata Municipal Corporation (KMC) in 2015, Dhapa had already crossed the dangerous height of 50 feet and exhausted its capacity to take in any more waste. Two years since the assessment, nothing has changed in terms of waste disposal in the city’s landfill, where garbage continues to be dumped daily in large amounts. https://swachhindia.ndtv.com/kolkatas-landfill-crisis-the-citys-dependency-on-the-sole-landfill-of-dhapa-may-soon-result-in-an-unresolvable-crisis-11618/</t>
  </si>
  <si>
    <t>GDMDIDN0009</t>
  </si>
  <si>
    <t>GDMDIDN0010</t>
  </si>
  <si>
    <t>GDMDIDN0011</t>
  </si>
  <si>
    <t>GDMDIDN0012</t>
  </si>
  <si>
    <t>KODUNGAIYUR</t>
  </si>
  <si>
    <t>Chennai</t>
  </si>
  <si>
    <t>Google maps</t>
  </si>
  <si>
    <t>At present garbage generated in Chennai is dumped at two dumpyards – Kodungaiyur, spread over 269 acres, and Perungudi, spread over 200 acres. With both the landfills being in use for almost three to four decades, 2,400 to 2,800 metric tonnes of waste is being disposed of at each site daily. https://chennai.citizenmatters.in/chennai-legacy-waste-bioming-perungudi-kodungaiyur-fire-source-segregation-40678</t>
  </si>
  <si>
    <t>https://chennai.citizenmatters.in/chennai-legacy-waste-bioming-perungudi-kodungaiyur-fire-source-segregation-40678</t>
  </si>
  <si>
    <t>Greater Chennai Corporation (GCC)</t>
  </si>
  <si>
    <t>Legacy waste in Chennai’s dumpyards has become a ticking time-bomb making headlines over the years. The latest in a long line of incidents at Chennai’s dumpyards was a fire that broke out in Perungudi in the last week of April. The blaze spread across 15 acres and took four days for the Greater Chennai Corporation (GCC), Fire and Rescue Services and the Chennai Metropolitan Water Supply and Sewerage Board (CMWSSB) to put out. https://chennai.citizenmatters.in/chennai-legacy-waste-bioming-perungudi-kodungaiyur-fire-source-segregation-40678</t>
  </si>
  <si>
    <t>GDMDIDN0013</t>
  </si>
  <si>
    <t>Perungudi</t>
  </si>
  <si>
    <t>https://www.google.com/maps/place/Perungudi+Municipal+Solid+Waste+(MSW)+dumping+site/@12.9564803,80.2273794,1895m/data=!3m1!1e3!4m6!3m5!1s0x3a525d6990386e75:0xd72bd149983bbf18!8m2!3d12.9556631!4d80.2269205!16s%2Fg%2F11lm49d067?entry=ttu</t>
  </si>
  <si>
    <t>At present garbage generated in Chennai is dumped at two dumpyards – Kodungaiyur, spread over 269 acres, and Perungudi, spread over 200 acres. With both the landfills being in use for almost three to four decades, 2,400 to 2,800 metric tonnes of waste is being disposed of at each site daily. https://chennai.citizenmatters.in/chennai-legacy-waste-bioming-perungudi-kodungaiyur-fire-source-segregation-40678 
The 191 acre Perungudi landfill, a nauseating pile of trash, ..
Read more at:
http://timesofindia.indiatimes.com/articleshow/91363142.cms?utm_source=contentofinterest&amp;utm_medium=text&amp;utm_campaign=cppst</t>
  </si>
  <si>
    <t>GDMDIDN0014</t>
  </si>
  <si>
    <t>Bhalswa</t>
  </si>
  <si>
    <t>Delhi</t>
  </si>
  <si>
    <t>https://www.google.com/maps/place/Bhalswa+Dumping+Ground/@28.7421144,77.1547504,1014m/data=!3m1!1e3!4m6!3m5!1s0x390d01a4dcea7167:0xff3260c822bb1f04!8m2!3d28.7403729!4d77.1588365!16s%2Fg%2F11f3jnzgfv?entry=ttu</t>
  </si>
  <si>
    <t>At the Bhalswa landfill in northwest Delhi, a steady flow of jeeps zigzag up the trash heap to dump more garbage on a pile now over 62 meters (203 feet) high. https://edition.cnn.com/2022/12/10/india/india-bhalswa-landfill-pollution-climate-intl-hnk-dst/index.html
The 28-year-old site Bhalswa landfill is spread across 70 acres. Its initial height was 65 metres from ground level.A 2019 survey revealed 80 lakh MT of legacy waste.Since then, 24 lakh MT of fresh waste has been dumped while 30.4 lakh MT has been biomined.
Read more at:
http://timesofindia.indiatimes.com/articleshow/98719356.cms?from=mdr&amp;utm_source=contentofinterest&amp;utm_medium=text&amp;utm_campaign=cppst
Garbage dumping at the Bhalswa landfill site spread over 36 acre started in 1994. It has an accumulated legacy waste weighing 80 lakh tonnes https://www.hindustantimes.com/india-news/massive-inferno-at-bhalswa-landfill-in-north-delhi-4th-landfill-fire-in-a-month-101650992868377.html
Nearly 11,000 MT of waste is generated every single day inin the city. "Of this, about 8,100 MT is cleared on a daily basis through waste-to-energy and other modes of segregation So there is a deficit of about 2,800 MT every day," Kejriwal ..
Read more at:
http://timesofindia.indiatimes.com/articleshow/98719356.cms?from=mdr&amp;utm_source=contentofinterest&amp;utm_medium=text&amp;utm_campaign=cppst</t>
  </si>
  <si>
    <t>Municipal Corporation of Delhi (MCD)</t>
  </si>
  <si>
    <t>Photos and videos: https://edition.cnn.com/2022/12/10/india/india-bhalswa-landfill-pollution-climate-intl-hnk-dst/index.html
https://www.indiatimes.com/news/india/delhi-bhalswa-landfill-site-still-on-fire-photos-568827.html
https://timesofindia.indiatimes.com/city/delhi/bhalswa-landfill-to-be-cleared-by-next-march/articleshow/98719356.cms?from=mdr</t>
  </si>
  <si>
    <t>GDMDIDN0015</t>
  </si>
  <si>
    <t>GHAZIPUR</t>
  </si>
  <si>
    <t>THE WORLD'S 50 BIGGEST DUMPSITES, WASTE ATLAS REPORT 2014 
The Ghazipur landfill receives around 2,000 to 2,500 tons of waste per day, which is equivalent to approximately 690,000 to 912,500 tons of waste per year. 
a supervisor at Ghazipur landfill, told Al Jazeera that between 2,000 and 2,500 tonnes of rubbish are dumped daily. https://www.aljazeera.com/features/2018/9/10/ghazipur-landfill-despair-over-delhis-deadly-rubbish-dump
The landfill today receives 2000–2500 million tons (MT) of Delhi’s garbage on a daily basis. https://delhipostnews.com/delhis-mountain-of-shame-the-ghazipur-landfill/
More than 2,300 tonnes of Municipal Solid Waste arrive at Delhi’s largest dump in Ghazipur every day, according to a report released in July by a joint committee formed to find a way to reduce the number of fires at the site.
That’s the bulk of the waste from the surrounding area – only 300 tonnes is processed and disposed of by other means, the report said. And less than 7% of legacy waste had been bio-mined, which involves excavating, treating and potentially reusing old rubbish. https://edition.cnn.com/2022/12/10/india/india-bhalswa-landfill-pollution-climate-intl-hnk-dst/index.html
The overflowing Ghazipur Landfill affects the lives of more than 30 lakh people living within a 10 km area of the landfill and the nearest residential settlement is just 200 meters away. The landfill is polluting the local air, groundwater, and poses a serious threat to Sanjay Lake, which is around 2.5 km away, and the already dying Yamuna River, which is around 7 km away. Parveena, a domestic helper and a resident of Khoda village near the landfill suffer from coughing bouts at irregular intervals. She generally complains about the bad smell and air which disturbs her. However, with her monthly earnings seeing a doctor seems like an impossible task. https://thegoodroute.in/social-implications-of-living-near-the-ghazipur-landfill/</t>
  </si>
  <si>
    <t>East Delhi Municipal Corporation (EDMC)</t>
  </si>
  <si>
    <t>The Ghazipur landfill is owned and operated by the East Delhi Municipal Corporation (EDMC), which is a government body responsible for the administration of East Delhi.
The Ghazipur landfill site has been operational since 1984 (DIMTS and IDFC, 2010). The East Delhi Municipal Corporation (EDMC), responsible for landfill operations at Ghazipur, has long sought to address the capacity constraints at the landfill. https://www.ccacoalition.org/en/resources/ghazipur-landfill-rehabilitation-report
https://www.aljazeera.com/features/2018/9/10/ghazipur-landfill-despair-over-delhis-deadly-rubbish-dump
https://delhipostnews.com/delhis-mountain-of-shame-the-ghazipur-landfill/
https://edition.cnn.com/2022/12/10/india/india-bhalswa-landfill-pollution-climate-intl-hnk-dst/index.html
https://indianexpress.com/article/explained/ghazipr-landfill-height-reduced-permanently-cleared-6522978/
https://www.theguardian.com/world/2022/mar/29/delhi-landfill-fire-toxic-fumes
Photos: https://allthatsinteresting.com/ghazipur-landfill
https://www.aljazeera.com/features/2018/9/10/ghazipur-landfill-despair-over-delhis-deadly-rubbish-dump
https://www.bbc.co.uk/news/av/world-asia-india-60929949
https://thegoodroute.in/social-implications-of-living-near-the-ghazipur-landfill/</t>
  </si>
  <si>
    <t>India</t>
  </si>
  <si>
    <t>Gyaspur</t>
  </si>
  <si>
    <t>Bhatar Dumpsite</t>
  </si>
  <si>
    <t>Bhatar</t>
  </si>
  <si>
    <t>Gorai Dumpsite</t>
  </si>
  <si>
    <t>Sodepur</t>
  </si>
  <si>
    <t>Diva Dumpsite</t>
  </si>
  <si>
    <t>GDMDIND0016</t>
  </si>
  <si>
    <t>GDMDIND0017</t>
  </si>
  <si>
    <t>GDMDIND0018</t>
  </si>
  <si>
    <t>Surat Municipal Corporation (SMC)</t>
  </si>
  <si>
    <t>https://www.landconflictwatch.org/conflicts/ngt-orders-closure-of-dumping-site-after-long-fight-by-surat-s-villagers#</t>
  </si>
  <si>
    <t>GDMDIND0019</t>
  </si>
  <si>
    <t>Sampatchak</t>
  </si>
  <si>
    <t>Patna Municipal
Corporation (PMC)</t>
  </si>
  <si>
    <t>https://environmentclearance.nic.in/DownloadPfdFile.aspx?FileName=evC/XvA7quw3CBeJjgWwsazFlVv9ZuQNmKfqbtthbHqcrQnTJCVmSq67+vJb5yI2hAMMBMpakFyuyXV/sGVzRPEUUInlvxqTwXVKYJnqvYukyj05/87tpFa0o703QmrYyY4CHvo92U3uCNsPKhj+vT5AiI8oLQNf2Dn0jWi0Wg09pulKsq9k4yB1Ai52G43o&amp;FilePath=93ZZBm8LWEXfg+HAlQix2fE2t8z/pgnoBhDlYdZCxzXmG8GlihX6H9UP1HygCn3pCkAF2zPFXFQNqA4krKa1Aw==</t>
  </si>
  <si>
    <t>GDMDIND0020</t>
  </si>
  <si>
    <t>GDMDIND0021</t>
  </si>
  <si>
    <t>GDMDIND0022</t>
  </si>
  <si>
    <t>Kalyan</t>
  </si>
  <si>
    <t>Kalyan-Dombivli Municipal Corporation</t>
  </si>
  <si>
    <t>https://en.wikipedia.org/wiki/Kalyan</t>
  </si>
  <si>
    <t>GDMDIND0023</t>
  </si>
  <si>
    <t>Bekasi</t>
  </si>
  <si>
    <t>IDN</t>
  </si>
  <si>
    <t>South-eastern Asia</t>
  </si>
  <si>
    <t>THE WORLD'S 50 BIGGEST DUMPSITES, WASTE ATLAS REPORT 2014 
https://www.nytimes.com/2020/04/27/world/asia/indonesia-jakarta-trash-mountain.html
According to a report by the United Nations Environment Programme (UNEP) in 2019, the Bantar Gebang landfill receives about 7,000 to 8,000 tons of waste per day, which is equivalent to 2.5 million to 2.9 million tons of waste per year.</t>
  </si>
  <si>
    <t>Jakarta Provincial Government </t>
  </si>
  <si>
    <t>T Sarana Pembangunan Bekasi Jaya (SPBJ)</t>
  </si>
  <si>
    <t>https://waste-management-world.com/artikel/injury-time-for-indonesian-landfills/
https://pulitzercenter.org/stories/indonesias-poor-waste-management-system-may-worsen-pandemic
https://www.theguardian.com/world/2011/sep/27/indonesia-waste-tip-scavengers
https://pulitzercenter.org/stories/indonesias-poor-waste-management-system-may-worsen-pandemic
https://www.pwc.com/id/en/media-centre/infrastructure-news/july-2019/jakarta-provincial-govt-proposes.html
https://www.researchgate.net/publication/340302910_Legal_Framework_of_Waste_Management_in_Indonesia
https://www.insider.com/photos-trash-mountain-pickers-indonesia-live-on-massive-landfill-2020-4
https://waste-management-world.com/artikel/injury-time-for-indonesian-landfills/
Bantar Gebang landfill is owned by the Indonesian government through the Ministry of Public Works and Housing. The landfill is operated by PT Sarana Pembangunan Bekasi Jaya (SPBJ), which is a subsidiary of the city-owned company PT Jakarta Propertindo (Jakpro). Jakpro is a state-owned company under the management of the Jakarta Provincial Government. The management of the site is regulated by the Bekasi City Environmental Agency (DLH Kota Bekasi), which is responsible for ensuring that the landfill operates in compliance with environmental regulations and standards.
https://ejatlas.org/conflict/bantar-gebang-jakarta-landfill-indonesia</t>
  </si>
  <si>
    <t>GDMDIND0024</t>
  </si>
  <si>
    <t>GDMDIND0025</t>
  </si>
  <si>
    <t>GDMDIND0026</t>
  </si>
  <si>
    <t>GDMDIND0027</t>
  </si>
  <si>
    <t>GDMDIND0028</t>
  </si>
  <si>
    <t>GDMDIND0029</t>
  </si>
  <si>
    <t>Rawa Kucing Dumpsite</t>
  </si>
  <si>
    <t xml:space="preserve">Tangerang city government </t>
  </si>
  <si>
    <t>https://en.antaranews.com/news/296781/rawa-kucing-landfill-fire-bnpb-sends-one-waterbombing-helicopter</t>
  </si>
  <si>
    <t>GDMDIND0030</t>
  </si>
  <si>
    <t>Sumurbatu</t>
  </si>
  <si>
    <t>GDMDIND0031</t>
  </si>
  <si>
    <t>GDMDIND0032</t>
  </si>
  <si>
    <t>GDMDIND0033</t>
  </si>
  <si>
    <t>GDMDIND0034</t>
  </si>
  <si>
    <t>Denpasar</t>
  </si>
  <si>
    <t>Provincial Government of Bali</t>
  </si>
  <si>
    <t>Denpasar City Government</t>
  </si>
  <si>
    <t>The Suwung Dumpsite is owned by the Provincial Government of Bali and operated by the Denpasar City Government. It is managed by the Regional Public Service Agency for Waste Management (BLH).
So far, some of the land offered by the provincial government of Bali has received protests from local residents. The land area of ​​2 hectares to the west of the Mengwi Terminal owned by the regency eventually became the choice for the construction of a temporary rubbish bin. According to Garbage Emergency, Badung Regency Government Makes TPS in Mengwi Terminal: https://www.itsmartenviro.co.id/2019/11/garbage-emergency-badung-regency-government-makes-tps-in-mengwi-terminal/
City  and  district  governments	 are  ultimately	 responsible  for  solid  waste  management  (Waste  Management  Act	 (No.18/2008). Collection and	transport of household	waste to Temporary Disposal Sites (TPS) or Intermediate Transfer Facilities (TPST) are	the responsibility of the neighborhood and community organizations. Transport of waste	  from  the  TPS/TPST  to  the  Landfill (TPA)  is  the  responsibility  of  local government.  According to World Bank "RAPID ASSESSMENT SYNTHESIS REPORT" https://documents1.worldbank.org/curated/en/983771527663689822/pdf/Indonesia-Marine-Debris-Hotspot-Rapid-Assessment-Synthesis-Report.pdf</t>
  </si>
  <si>
    <t>GDMDIND0035</t>
  </si>
  <si>
    <t>GDMDIRQ0001</t>
  </si>
  <si>
    <t>Iraq</t>
  </si>
  <si>
    <t>GDMDJOR0001</t>
  </si>
  <si>
    <t>Cipayung</t>
  </si>
  <si>
    <t>Jordan</t>
  </si>
  <si>
    <t>administration of Depok in West Java</t>
  </si>
  <si>
    <t xml:space="preserve">
Owned and managed by the administration of Depok in West Java https://www.thejakartapost.com/news/2018/12/29/depok-s-only-landfill-exceeds-capacity-poses-risk.html
https://ijsoc.goacademica.com/index.php/ijsoc/article/view/477/457
https://www.eco-business.com/opinion/depok-the-front-line-in-indonesias-fight-against-waste/
http://www.thejakartapost.com/news/2018/12/29/depok-s-only-landfill-exceeds-capacity-poses-risk.html
https://www.thejakartapost.com/news/2020/01/17/overloaded-depok-dumpsite-provides-livelihood-for-local-scavengers.html</t>
  </si>
  <si>
    <t>GDMDJOR0002</t>
  </si>
  <si>
    <t>7 Nissan Municipality</t>
  </si>
  <si>
    <t>IRQ</t>
  </si>
  <si>
    <t>Baghdad municipality</t>
  </si>
  <si>
    <t>https://en.wikipedia.org/wiki/Government_of_Baghdad</t>
  </si>
  <si>
    <t>GDMDJOR0003</t>
  </si>
  <si>
    <t>AL RUSSEIFEH</t>
  </si>
  <si>
    <t>Zarqa</t>
  </si>
  <si>
    <t>JOR</t>
  </si>
  <si>
    <t>SWEEP-NET</t>
  </si>
  <si>
    <t xml:space="preserve">Greater Amman Municipality (GAM)
</t>
  </si>
  <si>
    <t xml:space="preserve">
https://www.mola.gov.jo/ebv4.0/root_storage/ar/eb_list_page/(1st_draft_report).pdf
</t>
  </si>
  <si>
    <t>GDMDJOR0004</t>
  </si>
  <si>
    <t>Al Lajoun dumpsite</t>
  </si>
  <si>
    <t>Karak</t>
  </si>
  <si>
    <t>https://www.mola.gov.jo/ebv4.0/root_storage/ar/eb_list_page/(1st_draft_report).pdf</t>
  </si>
  <si>
    <t>Karak JSC</t>
  </si>
  <si>
    <t>GDMDJOR0005</t>
  </si>
  <si>
    <t>Madaba dumpsite</t>
  </si>
  <si>
    <t>Madaba</t>
  </si>
  <si>
    <t>Madaba JSC</t>
  </si>
  <si>
    <t>GDMDJOR0006</t>
  </si>
  <si>
    <t>Al Homra dumpsite</t>
  </si>
  <si>
    <t>Al Salt</t>
  </si>
  <si>
    <t>Balqa (Al Salt) JSC</t>
  </si>
  <si>
    <t>GDMDJOR0007</t>
  </si>
  <si>
    <t>Al-Duleil dumpsite</t>
  </si>
  <si>
    <t>Al-Duleil</t>
  </si>
  <si>
    <t>Zarqa JSC</t>
  </si>
  <si>
    <t>GDMDJOR0008</t>
  </si>
  <si>
    <t>New Deir Allah dumpsite</t>
  </si>
  <si>
    <t>New Deir Allah</t>
  </si>
  <si>
    <t>Al-Shoneh Al- Wsta JSC</t>
  </si>
  <si>
    <t>GDMDJOR0009</t>
  </si>
  <si>
    <t>Al Aqaba dumpsite</t>
  </si>
  <si>
    <t>Aqaba</t>
  </si>
  <si>
    <t>Aqaba JSC</t>
  </si>
  <si>
    <t>GDMDJOR0010</t>
  </si>
  <si>
    <t>Rabyet Al Kourah dumpsite</t>
  </si>
  <si>
    <t>Waqqas</t>
  </si>
  <si>
    <t>PERU WASTE INNOVATION S.A.C.</t>
  </si>
  <si>
    <t>Al-Kourah   JSC</t>
  </si>
  <si>
    <t>GDMDJOR0011</t>
  </si>
  <si>
    <t>Al Aghwar Al Shamaliyah dumpsite</t>
  </si>
  <si>
    <t>Al Aghwar</t>
  </si>
  <si>
    <t>Aghwar
Shamaliyah Joint Services Council (JSC)</t>
  </si>
  <si>
    <t>GDMDJOR0012</t>
  </si>
  <si>
    <t>AL HUSAINEYAT</t>
  </si>
  <si>
    <t>Mafraq</t>
  </si>
  <si>
    <t>THE WORLD'S 50 BIGGEST DUMPSITES, WASTE ATLAS REPORT 2014 
https://www.mola.gov.jo/ebv4.0/root_storage/ar/eb_list_page/(1st_draft_report).pdf</t>
  </si>
  <si>
    <t>THE WORLD'S 50 BIGGEST DUMPSITES, WASTE ATLAS REPORT 2014 
According to MOLA gov(2014) Regional and Local Development Project (RLDP), Development of a National Strategy to Improve the Municipal Solid Waste Management Sector in the Hashemite Kingdom of Jordan Report on the Implementation Arrangements for the Recommended MSWM Strategy in the Hashemite Kingdom of Jordan(3rd Draft Report) https://www.mola.gov.jo/ebv4.0/root_storage/ar/eb_list_page/(1st_draft_report).pdf
53290-65700</t>
  </si>
  <si>
    <t>Aghwar Shamaliyah JSC</t>
  </si>
  <si>
    <t>Aghwar Shamaliyah Joint Services Council (JSC) &amp; Mafraq JSC</t>
  </si>
  <si>
    <t>According to MOLA gov(2014) Regional and Local Development Project (RLDP), Development of a National Strategy to Improve the Municipal Solid Waste Management Sector in the Hashemite Kingdom of Jordan Report on the Implementation Arrangements for the Recommended MSWM Strategy in the Hashemite Kingdom of Jordan(3rd Draft Report) https://www.mola.gov.jo/ebv4.0/root_storage/ar/eb_list_page/(1st_draft_report).pdf
https://www.mola.gov.jo/ebv4.0/root_storage/ar/eb_list_page/(1st_draft_report).pdf</t>
  </si>
  <si>
    <t>GDMDJOR0013</t>
  </si>
  <si>
    <t>Joarf Al Daraweash dumpsite</t>
  </si>
  <si>
    <t>Tafilah</t>
  </si>
  <si>
    <t>Tafilah JSC</t>
  </si>
  <si>
    <t>GDMDJOR0014</t>
  </si>
  <si>
    <t>Ma'an dumpsite</t>
  </si>
  <si>
    <t>Ma'an</t>
  </si>
  <si>
    <t>Ma'an JSC</t>
  </si>
  <si>
    <t>GDMDJOR0015</t>
  </si>
  <si>
    <t>Al Badiah Al Shamaliyah dumpsite</t>
  </si>
  <si>
    <t>Badiah Shamaliyah</t>
  </si>
  <si>
    <t>Badiah Shamaliyah JSC</t>
  </si>
  <si>
    <t>GDMDJOR0016</t>
  </si>
  <si>
    <t>Ail dumpsite</t>
  </si>
  <si>
    <t>New Ali</t>
  </si>
  <si>
    <t>Ail JSC</t>
  </si>
  <si>
    <t>GDMDJOR0017</t>
  </si>
  <si>
    <t>Al-Qawiera dumpsite</t>
  </si>
  <si>
    <t>Qawiera</t>
  </si>
  <si>
    <t>Qawiera JSC</t>
  </si>
  <si>
    <t>GDMDKEN0001</t>
  </si>
  <si>
    <t>Al Samar dumpsite</t>
  </si>
  <si>
    <t>Al-Agwar</t>
  </si>
  <si>
    <t>Al-Agwar Al- Janobeiah JSC</t>
  </si>
  <si>
    <t>GDMDKEN0002</t>
  </si>
  <si>
    <t>Agwar AlMazrah, Al Barkah dumpsite</t>
  </si>
  <si>
    <t>GDMDKGZ0001</t>
  </si>
  <si>
    <t>Nairobi</t>
  </si>
  <si>
    <t>KEN</t>
  </si>
  <si>
    <t>MSW, Hazardous Waste, Agricultural Waste, Industrial Waste, Hospital Waste</t>
  </si>
  <si>
    <t>Nairobi City County Public Service Board</t>
  </si>
  <si>
    <t>Nairobi Metropolitan Services</t>
  </si>
  <si>
    <t>https://plasticsdb.surrey.ac.uk/documents/kenya/National%20Solid%20Waste%20Management%20Strategy%202015.pdf
The Nairobi City County Government is responsible for the day-to-day operations of the landfill, including waste collection, transportation, and disposal. You can find more information in the article titled "Dandora dumpsite now receiving 2,000 tonnes of garbage daily" available at the following link:
https://nation.africa/kenya/news/gender/we-can-t-breathe-how-dandora-dumpsite-is-wasting-generations-of-women-away-3865650
https://globalplasticwatch.org/map?site=8f7a6e431052bb4</t>
  </si>
  <si>
    <t>GDMDLBN0001</t>
  </si>
  <si>
    <t>Lebanon</t>
  </si>
  <si>
    <t>SAU</t>
  </si>
  <si>
    <t>GDMDLBN0002</t>
  </si>
  <si>
    <t>Al Madina Al Munawwarah</t>
  </si>
  <si>
    <t>https://maps.google.com/?q=24.3208989,39.4471658</t>
  </si>
  <si>
    <t>GDMDMAR0001</t>
  </si>
  <si>
    <t>BISHKEK DUMPSITE</t>
  </si>
  <si>
    <t>Morocco</t>
  </si>
  <si>
    <t>KGZ</t>
  </si>
  <si>
    <t>Central Asia</t>
  </si>
  <si>
    <t>Economies in transition</t>
  </si>
  <si>
    <t>City of Bishkek</t>
  </si>
  <si>
    <t xml:space="preserve">Bishkek’s dumpsite has been in operation since 1978. The city authorities have yet to explain the delay after the disbursement of 22 million euro to complete the new landfill project. According to Checking in on Waste Management Projects in Kyrgyzstan and Uzbekistan: https://thediplomat.com/2022/12/checking-in-on-waste-management-projects-in-kyrgyzstan-and-uzbekistan/
The EBRD would extend a sovereign loan of up to EUR 11 million to the Kyrgyz Republic, to be on-lent to the City of Bishkek for the benefit of the municipal solid waste collection company Tazalyk and the new landfill management company to be established (jointly, the Companies). Accoding to European Bank: https://www.ebrd.com/work-with-us/projects/psd/bishkek-solid-waste.html </t>
  </si>
  <si>
    <t>GDMDMAR0002</t>
  </si>
  <si>
    <t>Sidon</t>
  </si>
  <si>
    <t>LBN</t>
  </si>
  <si>
    <t>https://www.google.com/maps/place/33%C2%B033'00.0%22N+35%C2%B021'36.0%22E/@33.5515165,35.3637689,482m/data=!3m1!1e3!4m4!3m3!8m2!3d33.55!4d35.36?entry=ttu</t>
  </si>
  <si>
    <t>https://ejatlas.org/conflict/garbage-mountain-saida</t>
  </si>
  <si>
    <t>Saida Municipality</t>
  </si>
  <si>
    <t>Council for Development and Reconstruction (CDR)</t>
  </si>
  <si>
    <t>The “Jabal al-Zbeleh,” the “mountain of garbage” managed by the Municipality of Saida, dates back to 1975, but grew substantially after 1982 when the dumpsite first received rubble and demolition waste from destroyed buildings following the Israeli invasion of Lebanon in that year, but has since received all kinds of waste from municipalities of the Saida district. https://ejatlas.org/conflict/garbage-mountain-saida
https://www.dailymail.co.uk/wires/afp/article-2869973/In-Lebanon-garden-blooms-former-trash-mountain.html
https://ejatlas.org/conflict/garbage-mountain-saida</t>
  </si>
  <si>
    <t>GDMDMEX0001</t>
  </si>
  <si>
    <t>Bourj Hammoud</t>
  </si>
  <si>
    <t>Mexico</t>
  </si>
  <si>
    <t>https://www.undp.org/lebanon/publications/updated-master-plan-closure-and-rehabilitation-uncontrolled-dumpsites-throughout-country-lebanon</t>
  </si>
  <si>
    <t>Bourj Hammoud Municipality</t>
  </si>
  <si>
    <t>https://www.ejatlas.org/print/bourj-hammoud-garbage-mountain
https://www.undp.org/lebanon/publications/lebanon-state-environment-and-future-outlook-turning-crises-opportunities</t>
  </si>
  <si>
    <t>GDMDMEX0002</t>
  </si>
  <si>
    <t>MYS</t>
  </si>
  <si>
    <t>GDMDMEX0003</t>
  </si>
  <si>
    <t>DOUMANZANA DUMP</t>
  </si>
  <si>
    <t>Bamako</t>
  </si>
  <si>
    <t>MLI</t>
  </si>
  <si>
    <t>THE WORLD'S 50 BIGGEST DUMPSITES, WASTE ATLAS REPORT 2014 
In 2001, the site was officially opened as a landfill and, with the help of NGOs, secured and equipped with toilet facilities. [2] Doumanzana used to frequented by hundreds of waste pickers – mostly women and children who lived from what they could find in the trash and collected all kinds of recyclable waste that could be sold, such as bottles, clothes, metals, and electronic waste. A young kid, for example, reported: “We collected iron pieces that we sell to blacksmiths and people who come here to buy and export them” [9]. However, waste has usually already been sorted previously by other waste pickers so that valuable trash was rare, while the community was exposed to smoke, infections, and the risk of an accident. As of 2013, a reported 670 people lived in squatted, self-constructed houses in the area of the Doumanzana dumpsite and, on average, earned about 100 CFA a day (€ 0.30) from picking waste.
https://www.ejatlas.org/print/privatization-of-waste-management-and-displacement-of-informal-recyclers-in-bamako-mali</t>
  </si>
  <si>
    <t>Town council of Bamako</t>
  </si>
  <si>
    <t>Policy and legislative framework for municipal solid wastes in Bamako: Since the 1970s, the environmental problems became a major concern for the Town council of Bamako.https://medwelljournals.com/fulltext/?doi=erj.2009.81.86
https://www.ejatlas.org/print/privatization-of-waste-management-and-displacement-of-informal-recyclers-in-bamako-mali
https://malijet.com/a_la_une_du_mali/14403-doumanzana_la_decharge_de_toutes.html
https://genarobardy.com/blog/2013/04/03/les-recuperateurs-de-doumanzana-bamako-mali/
https://www.afribone.com/decharge-de-doumanzana-les-riverains-entrevoient-la-fin-de-leur-calvaire/</t>
  </si>
  <si>
    <t>GDMDMEX0004</t>
  </si>
  <si>
    <t>Centro de Transferencia de Desechos "Matatlán"</t>
  </si>
  <si>
    <t>MEX</t>
  </si>
  <si>
    <t>The site known as Matatlán was not properly a dumpsite; for many years, it served as the landfill for the Guadalajara metropolitan area and provided services to several municipalities with a combined population of over 2.5 million inhabitants *. Around 2005, it was closed and only served as a transfer station in one of its internal areas, to send waste to another landfill in the region. In this condition, it continued until 2019, when, after some technical and legal issues with the operating landfill, it once again became active. However, this resurgence has lacked sufficient order and attention from the Jalisco State government, as demonstrated by satellite images of the site. The reception of waste exceeded the specified amount in column E.</t>
  </si>
  <si>
    <t>GDMDMEX0005</t>
  </si>
  <si>
    <t>GDMDMEX0006</t>
  </si>
  <si>
    <t>GDMDMEX0007</t>
  </si>
  <si>
    <t>GDMDMEX0008</t>
  </si>
  <si>
    <t>Mérida(Relleno Sanitario)</t>
  </si>
  <si>
    <t>The sanitary landfill is privately owned and currently operated by Veolia Mexico, unfortunately with technical criteria that do not adhere to the applicable official Mexican standards. However, this has not always been the case, as Veolia has significantly reduced its quality controls in the service in Mexico over time. Currently, it is anticipated that Merida, in terms of its services and infrastructure for solid waste management, will have an intermunicipal approach together with at least eight other municipalities adjacent to the metropolitan area. It is known that the operation of the sanitary landfill is larger than indicated and that it averages no less than 1,000 tons per day.</t>
  </si>
  <si>
    <t>GDMDMEX0009</t>
  </si>
  <si>
    <t>Historically, the open dump in Mazatlán has received very little attention from the local government and is directly operated by the municipality's public services. This city has a significant tourist vocation and, as far as is known, has never been able to achieve private investment to improve the site's infrastructure conditions.</t>
  </si>
  <si>
    <t>GDMDMEX0010</t>
  </si>
  <si>
    <t>This disposal site is not an open dump but a sanitary landfill inadequately managed by the government of Tepic, Nayarit. It has been in operation for over 20 years and has had ups and downs in its operation, with some years better than others. It is known that it is reaching the end of its useful life and will soon need to be expanded or a new site will need to be found to construct a new sanitary landfill for the municipality.</t>
  </si>
  <si>
    <t>GDMDMEX0011</t>
  </si>
  <si>
    <t>GDMDMEX0012</t>
  </si>
  <si>
    <t>The open-air landfill for waste in Tapachula is one of the largest in the state of Chiapas, with a daily operation of around 350 tons per day. Given its characteristics, it would be ideal to correct its inadequate management and transition towards an intermunicipal project with other nearby localities. However, it has not been a priority for either the municipal or state government, which keeps it in very poor condition according to satellite image reviews.</t>
  </si>
  <si>
    <t>GDMDMEX0013</t>
  </si>
  <si>
    <t>GDMDMEX0014</t>
  </si>
  <si>
    <t>GDMDMEX0015</t>
  </si>
  <si>
    <t>GDMDMEX0016</t>
  </si>
  <si>
    <t>Ciudad Victoria, Victoria, Tamaulipas</t>
  </si>
  <si>
    <t>The controlled site in the municipality of Victoria, the capital of the state of Tamaulipas, has undergone various stages over the years. These changes include not only its continuously expanding area but also its management techniques and practices, sometimes improving, sometimes worsening, always under the operation of the local government (up until now). It has ranged from being planned as a sanitary landfill at different times to being completely burned by informal sector groups, many of which are linked to criminal organizations in the area. I am very familiar with the site as I had the opportunity to conduct a two-year diagnostic study across the entire state of Tamaulipas, with the main project proposal specifically targeting the central region where Victoria is the principal municipality. The site must receive no less than 350 tons per day.</t>
  </si>
  <si>
    <t>GDMDMEX0017</t>
  </si>
  <si>
    <t>Rosandrema</t>
  </si>
  <si>
    <t>The final disposal site in Kanasin, Yucatán, began in 2012 as a properly constructed sanitary landfill. However, within less than 10 years after it started operations, all control over the activities was completely lost, and it turned into an open dump. It is located within the metropolitan area of Merida, Yucatán and will very likely be part of the recently announced intermunicipal project in the state capital, as it is situated 20 km from Merida´s sanitary landfill. Regarding the reported population, there is a mistake because of Mérida's population was probably counted in this. The official INEGI 2020 data for the municipality of Kanasin is 141,939 inhabitants which implies a waste generation of approximately 150 tons per day.</t>
  </si>
  <si>
    <t>GDMDMEX0018</t>
  </si>
  <si>
    <t>The final disposal site in Tlajomulco de Zuñiga, Jalisco began as a transfer station without much technical incorporation in its processes, simply transferring loads between trucks and other larger capacity units. The final disposal for this municipality was done at the private Los Laureles sanitary landfill, where most of the municipalities in the Guadalajara metropolitan area also disposed of their waste. However, about three years ago, this sanitary landfill was closed, and since then, what used to be a transfer station has turned into an open dump. There is an error in the population data for the municipality. According to INEGI 2020, Tlajomulco de Zuñiga, Jalisco has a population of 727,750 inhabitants, and its solid waste generation should be close to 1,000 tons per day or even more, as a result of the industrial activity in the municipality.</t>
  </si>
  <si>
    <t>GDMDMEX0019</t>
  </si>
  <si>
    <t>GDMDMEX0020</t>
  </si>
  <si>
    <t>Villa Allende</t>
  </si>
  <si>
    <t>The final disposal site mentioned in this row is better known as "Las Matas." For years, at least three municipalities in the state of Veracruz, namely Coatzacoalcos, Minatitlán, and Cosoleacaque, have been depositing waste there. It has been a historical environmental liability in Mexico because many of the wastes are related to the petrochemical industry, given the industrial nature of the state. Its closure and sealing were announced as the flagship project for solid waste by the federal administration for the period 2018-2024. However, there has been little progress regarding what should be understood as the conversion to an integrated waste management model, its utilization, and the construction of a sanitary landfill that complies with NOM-083-SEMARNAT-2003. It is important to review the sequence of satellite images over time to understand its growth and development, as it has expanded on both sides of Federal Highway 185. According to INEGI 2020 data, * the populations of the three mentioned municipalities are as follows: Coatzacoalcos (310,698 inhabitants), Minatitlán (144,776), and Cosoleacaque (130,903), totaling 586,377 inhabitants in the area. Accordingly, it is estimated that the solid waste intake exceeds 700 tons per day.</t>
  </si>
  <si>
    <t>GDMDMLI0001</t>
  </si>
  <si>
    <t>Mali</t>
  </si>
  <si>
    <t>GDMDMMR0001</t>
  </si>
  <si>
    <t>Myanmar</t>
  </si>
  <si>
    <t>GDMDMMR0002</t>
  </si>
  <si>
    <t>Carretera Transístmica</t>
  </si>
  <si>
    <t>The dumpsite designated for the municipality of Cosoleacaque is the same one mentioned in row 18, known as "Las Matas." The only difference is that due to its size and the municipalities that use it, the waste discharges have grown on both sides of the road, as can be seen in the satellite images and their behavior and evolution over the years. * the populations of the three mentioned municipalities are as follows: Coatzacoalcos (310,698 inhabitants), Minatitlán (144,776), and Cosoleacaque (130,903), totaling 586,377 inhabitants in the area. Accordingly, it is estimated that the solid waste intake exceeds 700 tons per day.</t>
  </si>
  <si>
    <t>GDMDMOZ0001</t>
  </si>
  <si>
    <t>Mozambique</t>
  </si>
  <si>
    <t>MAR</t>
  </si>
  <si>
    <t>GDMDMYS0001</t>
  </si>
  <si>
    <t>Malaysia</t>
  </si>
  <si>
    <t>GDMDNGA0001</t>
  </si>
  <si>
    <t>HULENE</t>
  </si>
  <si>
    <t>Maputo</t>
  </si>
  <si>
    <t>Nigeria</t>
  </si>
  <si>
    <t>MOZ</t>
  </si>
  <si>
    <t>MSW, Hazardous Waste</t>
  </si>
  <si>
    <t>Municipal Council of Maputo (CMM)</t>
  </si>
  <si>
    <t xml:space="preserve">The project will help the Municipal Council of Maputo (CMM) implement the most challenging and transformative urban infrastructure investments and reforms.https://documents1.worldbank.org/curated/en/109521603981400828/text/Appraisal-Environmental-and-Social-Review-Summary-ESRS-Maputo-Urban-Transformation-Project-P171449.txt 
https://blogs.worldbank.org/sustainablecities/landslides-dumpsites-and-waste-pickers
https://www.sciencedirect.com/science/article/pii/S2468227620303756?ref=pdf_download&amp;fr=RR-2&amp;rr=7f7ab8a8c9cf3867 </t>
  </si>
  <si>
    <t>GDMDNGA0002</t>
  </si>
  <si>
    <t>HTAIN BIN DUMPSITE</t>
  </si>
  <si>
    <t>Yangon</t>
  </si>
  <si>
    <t>MMR</t>
  </si>
  <si>
    <t xml:space="preserve">THE WORLD'S 50 BIGGEST DUMPSITES, WASTE ATLAS REPORT 2014 
https://fukuoka.unhabitat.org/wp-content/uploads/2021/12/egm04.pdf
https://www.kankyo.metro.tokyo.lg.jp/en/tokyo_forum_report.files/2-6_Yangon.pdf
</t>
  </si>
  <si>
    <t>Yangon City Development Committee (YCDC)</t>
  </si>
  <si>
    <t>the Htain Bin dumpsite is managed by the Yangon City Development Committee (YCDC), which is the administrative body responsible for the management of Yangon city.
The support of UN-Habitat and Fukuoka City is needed and cannot be substituted in the immediate term as there are no other entities and international cooperation agencies helping YCDC in this aspect of Solid Waste Management. According to: https://devtracker.fcdo.gov.uk/projects/41120-12898/summary
In Yangon, there are two large open dumpsites (Htein Bin and Dawei Chaung) that collect most of the waste generated in Yangon city, the largest dumpsite Htein Bin is in Hlaing Tharya township, it has approximately 150 acres, from which 70 is estimated already used. https://devtracker.fcdo.gov.uk/projects/41120-12898/summary</t>
  </si>
  <si>
    <t>GDMDNGA0003</t>
  </si>
  <si>
    <t>HTWEI CHAUNG</t>
  </si>
  <si>
    <t>Current Situation of Solid Waste Management in Yangon City. https://fukuoka.unhabitat.org/wp-content/uploads/2021/12/egm04.pdf
The Republic of the Union of Myanmar, Yangon Region Government (YRG)
Yangon City Development Committee (YCDC). 
There are two large scaled open dumping sites (Htain Bin in Hlaing Thar Ya Township and Htwei Chaung in Dagon Myothit (East) Township) managed by YCDC, which remaining number of years to receive solid waste are about ten years. According to: https://openjicareport.jica.go.jp/pdf/1000038957_01.pdf</t>
  </si>
  <si>
    <t>GDMDNGA0004</t>
  </si>
  <si>
    <t>Chinadega</t>
  </si>
  <si>
    <t>NIC</t>
  </si>
  <si>
    <t>PLAN DE CIERRE Y MANEJO DE LOS VERTEDEROS EN LOS MUNICIPIOS DE CHINANDEGA Y EL VIEJO,CHINANDEGA 2012,UNION EUROPEAN, AFRICA 70
www.reciclaelmundo.org
twecsnicaragua.blogspot.gr/2011/11/internet-tower-hit-by-lighting.html  
RACHAEL JOYER,MY DAY IN A NICARAGUAN GARBAGE DUMP,IDAHO CATHOLIC REGISTER,FRIDAY 20 MAY 2011,6p
www.catholicidaho.org</t>
  </si>
  <si>
    <t>municipio de Chinandega</t>
  </si>
  <si>
    <t>GDMDNGA0005</t>
  </si>
  <si>
    <t>Isolo</t>
  </si>
  <si>
    <t>NGA</t>
  </si>
  <si>
    <t>GDMDNGA0006</t>
  </si>
  <si>
    <t>OLUSHOSUN</t>
  </si>
  <si>
    <t>Lagos</t>
  </si>
  <si>
    <t>MSW, E-waste</t>
  </si>
  <si>
    <t xml:space="preserve">THE WORLD'S 50 BIGGEST DUMPSITES, WASTE ATLAS REPORT 2014 
https://en.wikipedia.org/wiki/Olusosun_landfill
https://www.thisdaylive.com/index.php/2018/05/04/lagos-state-waste-management-landfill-infrastructure-challenge/ 
Quantity of waste accepted annually: over 320,000 metric tons
(i.e., over 700 million m3
) at Solous and about 1 million metric
tons (i.e., about 2.2 billion m3
) in Olusosun. https://www.globalmethane.org/expo-docs/posters/MSW/MSW_NI_Project_Lagos-LFG_FINAL.pdf
</t>
  </si>
  <si>
    <t>Ikeja Local Government within Lagos State Government</t>
  </si>
  <si>
    <t>Lagos Waste Management Authority (LAWMA)</t>
  </si>
  <si>
    <t xml:space="preserve">Lagos Waste Management Authority (LAWMA) website: https://www.lawma.gov.ng/
"Lagos to Commence Waste-to-Energy Project at Olusosun Dumpsite", This Day Live, 21 November 2019: https://www.thisdaylive.com/index.php/2019/11/21/lagos-to-commence-waste-to-energy-project-at-olusosun-dumpsite/
"Nigeria: Lagos Residents Seek Relocation of Olusosun Dumpsite", AllAfrica, 4 May 2019: https://allafrica.com/stories/201905040016.html
"Olusosun Dumpsite to Receive Waste-to-Energy Plant, Says LAWMA", The Guardian Nigeria, 21 November 2019: https://guardian.ng/news/olusosun-dumpsite-to-receive-waste-to-energy-plant-says-lawma/
https://gazettengr.com/lagos-to-close-olusosun-dumpsite-for-48-hours-maintenance/
https://documents.worldbank.org/en/publication/documents-reports/documentdetail/587771468098678110/resettlement-action-plan
Oloshosun landfill site is situated in the northern part of Lagos within Ikeja Local Government and receives approximately 40 per cent of the total waste deposits from Lagos. The size is 42.7 hectares and a residual life span of 20 years. According to: https://www.vanguardngr.com/2013/04/lawma-signs-mou-with-uk-investor-on-landfill-sites-re-devt/
The Lagos Waste Management Authority (LAWMA) says the Olusosun Landfill at Ojota will be closed for 48 hours from November 10, for maintenance. https://www.premiumtimesng.com/regional/ssouth-west/494212-lagos-to-close-olusosun-landfill.html?tztc=1
Olusosun is the largest dumpsite not only in Lagos but in Nigeria and receives about 2.1 million tonnes of waste annually comprising mostly of municipal solid waste, construction waste, and electronic waste (e-waste). The dumpsite covers an area of about 43 hectares and it is 18 meters deep.
The dumpsite has been in existence since 1992 and has housed about 24.5 million tonnes of waste since then. A population of about 5 million people lives around 10km radius from the site and numerous health problems like skin irritation, dysentery, water-related diseases, nausea etc. have been reported by residents living around 3km radius from the site. https://www.bioenergyconsult.com/biggest-dumpsites-in-nigeria/
</t>
  </si>
  <si>
    <t>GDMDNGA0007</t>
  </si>
  <si>
    <t>GDMDNGA0008</t>
  </si>
  <si>
    <t>SOLOUS 2</t>
  </si>
  <si>
    <t xml:space="preserve"> Lagos State Government</t>
  </si>
  <si>
    <t>DUMPSITE management is a unit under Lagos Waste Management Authority, LAWMA. There are three major landfills and two temporary sites serving Lagos residents. The three major landfill sites are Olushosun, at Ojota, Abule Egba, old Alimosho and Solous, Igando. The present administration in the state led by Governor Babatunde Fashola, through LAWMA, is working to ensure that all the landfill sites in the state are modernized and transformed into other facilities. Upgrading of the three principal landfill sites are ongoing and nearing completion. It aimed to improve turn-around time of trucks, and also reduce traffic congestion. According to: https://www.vanguardngr.com/2013/04/lawma-signs-mou-with-uk-investor-on-landfill-sites-re-devt/
They are among the five active landfills currently operated by Lagos Waste Management Authority (LAWMA). Aderemi, A. O., &amp; Falade, T. C. (2012). Environmental and health concerns associated with the open dumping of municipal solid waste: a Lagos, Nigeria experience. American journal of environmental engineering, 2(6), 160-165.http://dx.doi.org/10.5923/j.ajee.20120206.03
It is located in Lagos and occupies around 8 hectares of land along Lasu-Iba road. The dumpsite receives about 820,000 tonnes of waste annually and has since its existence in 2006 accepted around 5.8 million tonnes of MSW.
Solous is just 200 meters away from the nearest dwellings and almost 4 million people live within 10km radius from the site. Due to the vulnerable sand formation of the area, leachate produced at the dumpsite flows into groundwater causing its contamination.https://www.bioenergyconsult.com/biggest-dumpsites-in-nigeria/</t>
  </si>
  <si>
    <t>GDMDNGA0009</t>
  </si>
  <si>
    <t>Gbagada</t>
  </si>
  <si>
    <t>GDMDNGA0010</t>
  </si>
  <si>
    <t>GDMDNGA0011</t>
  </si>
  <si>
    <t>GDMDNGA0012</t>
  </si>
  <si>
    <t>GDMDNGA0013</t>
  </si>
  <si>
    <t>GDMDNGA0014</t>
  </si>
  <si>
    <t>GDMDNGA0015</t>
  </si>
  <si>
    <t>GDMDNGA0016</t>
  </si>
  <si>
    <t>GDMDNGA0017</t>
  </si>
  <si>
    <t>GDMDNGA0018</t>
  </si>
  <si>
    <t>Ifo</t>
  </si>
  <si>
    <t>GDMDNGA0019</t>
  </si>
  <si>
    <t>GDMDNGA0020</t>
  </si>
  <si>
    <t>GOSA</t>
  </si>
  <si>
    <t>Abuja</t>
  </si>
  <si>
    <t>LANDFILL RECOVERY AND USE IN NIGERIA FINAL REPORT,CENTER FOR PEOPLE AND ENVIRONMENT(CPE),JUNE 2010,17p</t>
  </si>
  <si>
    <t xml:space="preserve">Federal Capital Territory (FCT), Abuja </t>
  </si>
  <si>
    <t>Abuja Metropolitan Management Board</t>
  </si>
  <si>
    <t>The access road to the Gosa solid waste dumpsite in the Federal Capital Territory (FCT), for some time, has really been a challenge to the management of waste.https://www.blueprint.ng/improving-access-to-the-gosa-dumpsite-in-fct/
Operations however started in the 1980s; the initial operation consisting
of boring a pit, placing waste within and closure.The Gosa site as marked out in the Abuja master plan, is designated for construction of a standard engineered
landfill with 505ha provided for a solid waste treatment plant. https://core.ac.uk/download/pdf/234664669.pdf</t>
  </si>
  <si>
    <t>GDMDNGA0021</t>
  </si>
  <si>
    <t>ENEKA</t>
  </si>
  <si>
    <t>Port Harcourt</t>
  </si>
  <si>
    <t>Rivers State Waste Management Agency (RIWAMA)</t>
  </si>
  <si>
    <t>The Rivers State Waste Management Agency (RIWAMA), which is a government agency responsible for waste management in the state.
The Rivers State environmental sanitation and waste management authorities are at loss on how to best handle the wastes sustainably. According to: Assessment of Dumpsite Rehabilitation Potential Using the Integrated Risk Based Approach: a Case Study of Eneka, Nigeria https://www.researchgate.net/publication/268411846_Assessment_of_Dumpsite_Rehabilitation_Potential_Using_the_Integrated_Risk_Based_Approach_a_Case_Study_of_Eneka_Nigeria 
Eneka
It is located in Port Harcourt, the commercial hub of South-South, Nigeria along Igwuruta/Eneka road and 9km from Okpoka River and Otamiri River. It receives around 45,600 tonnes of MSW annually and already has about 12 million tonnes of waste in place.
The site lies in an area of 5 hectares and it is flooded almost all year round as rainfall in the area exceeds 2,500mm per annum. Due to this and the resultant flow of the flood which would have mixed with dumpsite leachate; groundwater, surface water, and soil contamination affect the 1.2 million people living around 10km radius from the site as the nearest building is just 200 meters away.https://www.bioenergyconsult.com/biggest-dumpsites-in-nigeria/
https://hyattractions.wordpress.com/2012/05/19/solid-waste-management-a-case-study-of-eneka-port-harcourt-rivers-state/#:~:text=The%20Eneka%20Dumpsite%3A%20Eneka%20dumpsite,in%20Oroigwe)%20in%20the%20east.</t>
  </si>
  <si>
    <t>GDMDNGA0022</t>
  </si>
  <si>
    <t>EPE</t>
  </si>
  <si>
    <t xml:space="preserve">Lagos Waste Management Authority (LAWMA) </t>
  </si>
  <si>
    <t>Epe dumpsite also in Lagos occupies about 80 hectares of land. The dumpsite was opened in 2010 and has an annual input of 12,000 tonnes of MSW. Epe is the dumpsite which the Lagos State government is planning to upgrade to an engineered landfill and set to replace Olusosun dumpsite after its closure.
Since its existence, it has received about 47,000 tonnes of waste and it is just 500 meters away from the nearest settlement. The dumpsite is also just 2km away from Osogbo River and 7km away from Lekki Lagoon. https://www.bioenergyconsult.com/biggest-dumpsites-in-nigeria/
The Epe landfill was opened on the 12 th of February, 2009. It is the largest landfill by size with an area of about 80 hectares. The location is about 5km on the outskirt of Epe town, along Ibeju/Lekki-Epe Expressway and about 1 km from the Epe Lagoon. https://www.researchgate.net/figure/Map-of-the-geology-of-Lagos-State-showing-the-landfill-locations-and-other-areas_fig3_280937823#:~:text=The%20Epe%20landfill%20was%20opened,km%20from%20the%20Epe%20Lagoon.
The Lagos State Government has given Visionscape kudos for achieving remarkable progress in the construction of Epe Landfill with the completion of the weighbridge and other facilities. The construction, when completed, would be the first engineered sanitary landfill in Nigeria. https://www.thisdaylive.com/index.php/2018/05/04/lagos-commends-visionscape-for-progress-on-epe-landfill-construction/</t>
  </si>
  <si>
    <t>GDMDNIC0001</t>
  </si>
  <si>
    <t>LAPITE</t>
  </si>
  <si>
    <t>Ibadan</t>
  </si>
  <si>
    <t>Nicaragua</t>
  </si>
  <si>
    <t>Akinyele Local Government</t>
  </si>
  <si>
    <t xml:space="preserve">Domestic Solid Waste Collection and Payment Policy with GIS Approach in Ajibode, Akinyele Local Government, Oyo - State, (Nigeria) https://lupinepublishers.com/environmental-soil-science-journal/pdf/OAJESS.MS.ID.000221.pdf
Lapite
Lapite dumpsite is also located in Ibadan occupies an area of 20 hectares receiving around 9,000 tonnes of MSW yearly. Since its existence in 1998, it has housed almost 137,000 tonnes of MSW. It is 9km away from IITA Forest Reserve and surrounded by vegetations on both sides of the road since the dumpsite is directly opposite a major road. The nearest settlement is about 2km away but due to the heavy metals present in the leachate produced in the waste dump, its leakage poses a great threat to groundwater and biodiversity in the area. https://www.bioenergyconsult.com/biggest-dumpsites-in-nigeria/
</t>
  </si>
  <si>
    <t>GDMDPAK0001</t>
  </si>
  <si>
    <t>Pakistan</t>
  </si>
  <si>
    <t>Eleme Local Government Area</t>
  </si>
  <si>
    <t>GDMDPER0001</t>
  </si>
  <si>
    <t>Ido</t>
  </si>
  <si>
    <t>Peru</t>
  </si>
  <si>
    <t>https://www.researchgate.net/publication/318759075_Urbanisation_Effects_on_Surface_and_Groundwater_Resources_An_Assessment_of_Approved_Dumpsite_in_Ibadan_Nigeria and generates about 1,618,293kg of solid wastes daily with the average waste generation per capita per day to be around 0.3kg. Ibadan is now the largest indigenous city in tropical Africa. It is approximately 128km northeast of Lagos</t>
  </si>
  <si>
    <t>Oyo State</t>
  </si>
  <si>
    <t>https://researchgate.net/publication/318759075_Urbanisation_Effects_on_Surface_and_Groundwater_Resources_An_Assessment_of_Approved_Dumpsite_in_Ibadan_Nigeria</t>
  </si>
  <si>
    <t>GDMDPER0002</t>
  </si>
  <si>
    <t>Olori, Ifo, Ogun</t>
  </si>
  <si>
    <t>Olori</t>
  </si>
  <si>
    <t>Ifo Local Government Area of Ogun State</t>
  </si>
  <si>
    <t>https://punchng.com/illegal-dumps-ogun-communities-create-fear-epidemic/</t>
  </si>
  <si>
    <t>GDMDPER0003</t>
  </si>
  <si>
    <t>Karachi</t>
  </si>
  <si>
    <t>PAK</t>
  </si>
  <si>
    <t>THE WORLD'S 50 BIGGEST DUMPSITES, WASTE ATLAS REPORT 2014 
Karachi generates around 10,000 Tons of waster every day, multiply it with 30 to form monthly waste generation and you get 300,000 Ton and again multiply it with 12 to get yearly waster of 36,00,000 Tons. https://ecosouthasia.wordpress.com/2011/06/05/sanitary-landfill-site-in-jam-chakro-%E2%80%93-for-namesake-only/
https://tribune.com.pk/story/396665/waste-management-businessmen-asked-to-help-utilise-waste/
According to a report by the Pakistan Environmental Protection Agency (EPA) published in 2017, the Jam Chakro landfill receives approximately 12,000 to 15,000 tons of waste daily. You can find more information in the report titled "Pakistan State of Environment Report 2015" available at the following link: https://www.pakistantoday.com.pk/2017/06/06/pakistan-releases-state-of-environment-report-2015/
According to a report published by the United Nations Development Programme (UNDP) in 2016, the Jam Chakro landfill receives approximately 5,000 tons of waste per day, which translates to about 1.8 million tons of waste per year. You can find more information in the report titled "Solid Waste Management in Pakistan: A Situation Analysis" available at the following link: https://www.pk.undp.org/content/pakistan/en/home/library/environment_energy/Solid-Waste-Management-in-Pakistan-A-Situation-Analysis.html
between 400 to 500 trucks empty around 6,000 to 7,000 tonnes of trash in 24 hours,” said Abdul Salam, a weighbridge operator at the 500 acre landfill site of Jam Chakro, https://www.thethirdpole.net/en/pollution/a-portrait-of-karachis-garbage-crisis/</t>
  </si>
  <si>
    <t>Karachi Metropolitan Corporation (KMC)</t>
  </si>
  <si>
    <t xml:space="preserve">According to an article published by The Express Tribune, a leading English-language newspaper in Pakistan, the Jam Chakro landfill is owned and managed by the Karachi Metropolitan Corporation (KMC). The article states that KMC is responsible for the day-to-day operations of the landfill and for ensuring that the waste is properly disposed of and managed in an environmentally sound manner. You can find more information in the article titled "Garbage woes: Karachi’s waste disposal crisis" available at the following link:
https://tribune.com.pk/story/1099574/garbage-woes-karachis-waste-disposal-crisis/
Chagpt: owned and managed by the Karachi Metropolitan Corporation (KMC), which is the local government authority responsible for providing municipal services in the city of Karachi. </t>
  </si>
  <si>
    <t>GDMDPER0004</t>
  </si>
  <si>
    <t>REQUE</t>
  </si>
  <si>
    <t>Reque</t>
  </si>
  <si>
    <t>PER</t>
  </si>
  <si>
    <t>Provincial Municipality of Chiclayo</t>
  </si>
  <si>
    <t>It is not clear how long has this illegal landfill been here. In 2015, the Environmental Assessment and Monitoring Agency (OEFA), part of the Minam, found out that waste from the districts of Chiclayo, José Leonardo Ortiz, La Victoria, and of course, Reque, had been dumped here for more than 50 years. Since then, the municipalities of Zaña, Lagunas, Nueva Arica, and Puerto Eten have also followed the old custom of throwing away garbage in the open. From July 1, access to the dump has been blocked by a gate built by waste pickers who have worked there for decades. They decided to stay at the site after officials from the municipality of Chiclayo announced that they would be executing an order issued by OEFA to close the dump permanently.  The order also prohibited other districts from using it. Soon after, no more municipal trucks came to the site. Now, to one side of the gate, a small makeshift tent made of sticks and cloth has been erected, with a flag on top, signaling that the dump is now waste collectors' territory. According to: https://saludconlupa.com/medio-ambiente/peru-largest-dump-is-open-seven-years-after-its-imminent-closure/</t>
  </si>
  <si>
    <t>GDMDPER0005</t>
  </si>
  <si>
    <t>EL MILAGRO</t>
  </si>
  <si>
    <t>Trujillo</t>
  </si>
  <si>
    <t>THE WORLD'S 50 BIGGEST DUMPSITES, WASTE ATLAS REPORT 2014 
s, Botadero “El Milagro”, in Trujillo, was considered. “El Milagro” has been active since 1989, receiving ca. 1000 t of waste daily and covering an area of roughly 45 ha. A sanitary landfill has been planned nearby and will receive the waste once it is opened. https://www.sciencedirect.com/science/article/pii/S0048969722043935
Since 1989, all of the municipal waste of Trujillo, which is the third-largest city in Peru, has been sent to a
dumpsite called “el Milagro”. El Milagro covers 43 hectares and receives over 1,000 tonnes of waste daily
from seven different provinces. https://cdkn.org/sites/default/files/files/SSN_Working-Paper-DIGITAL.pdf</t>
  </si>
  <si>
    <t>Provincial Municipality of Trujillo</t>
  </si>
  <si>
    <t>In contrast, the dumps at El Milagro (Trujillo) is still in operation as of May 2022 and constitute the
main disposition sites for the second and third largest cities in the nation. https://www.sciencedirect.com/science/article/pii/S0048969722043935
The Provincial Municipality of Trujillo has been working towards solving the challenges associated with final disposal of waste. It has secured an agreement with the regional government for the donation of 67 hectares of government-owned land for the construction of a landfill that will meet the requirements for proper final disposal of municipal solid waste. At the time of analysis, no plans had been made to integrate emissions reductions technologies into the landfill construction, or to mobilise private investment to support the financing of the landfill. https://cdkn.org/sites/default/files/files/SSN_Working-Paper-DIGITAL.pdf</t>
  </si>
  <si>
    <t>GDMDPER0006</t>
  </si>
  <si>
    <t>JULIACA DUMPSITE</t>
  </si>
  <si>
    <t>Juliaca</t>
  </si>
  <si>
    <t>Municipality of Juliaca</t>
  </si>
  <si>
    <t>It has been shown that municipal size is related to spending efficiency; the larger municipalities such as Juliaca, Juli and Ilave were indeed more efficient, with the exception of Puno, while efficiency was lower in the smaller municipalities. abacademies.org/articles/efficiency-of-public-entrepreneurial-spending-on-solid-waste-management-in-the-municipalities-of-the-puno-region-12359.html</t>
  </si>
  <si>
    <t>GDMDPER0007</t>
  </si>
  <si>
    <t>QUEBRADA HONDA ISPAMPA YURA</t>
  </si>
  <si>
    <t>Arequipa</t>
  </si>
  <si>
    <t>Provincial Municipality of Arequipa (MPA)</t>
  </si>
  <si>
    <t>The Center for Clean Air Policy (CCAP), an implementing partner of the Climate and Clean Air Coalition (CCAC) Municipal Solid Waste Initiative, provided on-the-ground financial, policy and technical assistance to the Provincial Municipality of Arequipa (MPA) to develop a financial work plan and support implementation of an organic waste management project that can reduce short-lived climate pollutants (SLCPs) and greenhouse gas (GHG) emissions, and deliver other social and economic co-benefits.https://www.waste.ccacoalition.org/participant/arequipa-peru</t>
  </si>
  <si>
    <t>GDMDPER0008</t>
  </si>
  <si>
    <t>JAQUIRA (HAQUIRA)</t>
  </si>
  <si>
    <t>Cusco</t>
  </si>
  <si>
    <t>MSW, Hazardous waste</t>
  </si>
  <si>
    <t>Provincial Municipality of Cuscoy or Municipalidad Provincial del Cusco</t>
  </si>
  <si>
    <t>The technical committee is made up of the president of the Jaquira community, the leaders of the water boards of neighboring towns, the technical teams of the district communes, the Environmental Management of the Provincial Municipality of Cusco. https://cusco.gob.pe/noticias/se-instalo-comite-tecnico-para-atender-problematica-de-la-basura-en-jaquira/</t>
  </si>
  <si>
    <t>GDMDPER0009</t>
  </si>
  <si>
    <t>PIURA DUMPSITE</t>
  </si>
  <si>
    <t>Piura</t>
  </si>
  <si>
    <t>PROVINCIAL MUNICIPALITY OF PIURA</t>
  </si>
  <si>
    <t>THE PREPARATORY SURVEY ON SOLID WASTE MANAGEMENT IN THE REPUBLIC OF PERU. https://openjicareport.jica.go.jp/pdf/12031761.pdf</t>
  </si>
  <si>
    <t>GDMDPHL0001</t>
  </si>
  <si>
    <t>CHIMBOTE DUMPSITE</t>
  </si>
  <si>
    <t>Chimbote</t>
  </si>
  <si>
    <t>Philippines</t>
  </si>
  <si>
    <t>DISTRICT MUNICIPALITY OF NUEVO CHIMBOTE</t>
  </si>
  <si>
    <t>GDMDPHL0002</t>
  </si>
  <si>
    <t>TUMBES DUMPSITE</t>
  </si>
  <si>
    <t>Tumbes</t>
  </si>
  <si>
    <t>PROVINCIAL MUNICIPALITYOFTUMBES</t>
  </si>
  <si>
    <t>GDMDPHL0003</t>
  </si>
  <si>
    <t>Relleno Sanitario Moyobamba</t>
  </si>
  <si>
    <t>Moyobamba</t>
  </si>
  <si>
    <t>The first stage of this project will be carried out in an area of ​​7 hectares. The entire project covers an area of ​​24 hectares, which includes a waste reuse plant. Work is expected to start in April 2019. https://www.gob.pe/institucion/minam/noticias/18476-construiran-relleno-sanitario-y-planta-de-reaprovechamiento-de-residuos-solidos-en-moyobamba</t>
  </si>
  <si>
    <t>Provincial Municipality of Moyobamba</t>
  </si>
  <si>
    <t>The vehicles delivered to the Provincial Municipality of Moyobamba for waste collection are monitored with a satellite computer application that monitors their movements in real time. https://www.gob.pe/institucion/minam/noticias/18476-construiran-relleno-sanitario-y-planta-de-reaprovechamiento-de-residuos-solidos-en-moyobamba</t>
  </si>
  <si>
    <t>GDMDPRT0001</t>
  </si>
  <si>
    <t>Pinalagad</t>
  </si>
  <si>
    <t>Portugal</t>
  </si>
  <si>
    <t>PHL</t>
  </si>
  <si>
    <t>GDMDPSE0001</t>
  </si>
  <si>
    <t>Bulacan dumpsite</t>
  </si>
  <si>
    <t>Caingin</t>
  </si>
  <si>
    <t>Gaza Strip/ State of Palestine</t>
  </si>
  <si>
    <t>Local Government Units (LGUs)</t>
  </si>
  <si>
    <t>https://region3.dilg.gov.ph/index.php/48-provincial-and-city-pages/bulacan/265-bulacan-best-practice</t>
  </si>
  <si>
    <t>GDMDPSE0002</t>
  </si>
  <si>
    <t>North Merville Park I Subdivision</t>
  </si>
  <si>
    <t>GDMDROU0001</t>
  </si>
  <si>
    <t>Romania</t>
  </si>
  <si>
    <t>PRT</t>
  </si>
  <si>
    <t>GDMDRUS0001</t>
  </si>
  <si>
    <t>Russian Federation</t>
  </si>
  <si>
    <t>GDMDRUS0002</t>
  </si>
  <si>
    <t>RAMNICU SARAT LANDFILL</t>
  </si>
  <si>
    <t>Ramnicu Sarat</t>
  </si>
  <si>
    <t>ROU</t>
  </si>
  <si>
    <t>Eastern Europe</t>
  </si>
  <si>
    <t>www.posmediu.ro</t>
  </si>
  <si>
    <t>GDMDRUS0003</t>
  </si>
  <si>
    <t>Gorod Dzerzhinsk landfill</t>
  </si>
  <si>
    <t>Nizhny Novgorod Region</t>
  </si>
  <si>
    <t>RUS</t>
  </si>
  <si>
    <t>Gorod Dzerzhinsk</t>
  </si>
  <si>
    <t>GDMDRUS0004</t>
  </si>
  <si>
    <t>Ufa landfill</t>
  </si>
  <si>
    <t>Republic of Bashkortostan</t>
  </si>
  <si>
    <t>Ufa</t>
  </si>
  <si>
    <t>GDMDRUS0005</t>
  </si>
  <si>
    <t>KPO "Timokhovo" (Polygon "Timokhovo") landfill</t>
  </si>
  <si>
    <t>Moscow region</t>
  </si>
  <si>
    <t>KPO "Timokhovo" (Polygon "Timokhovo")</t>
  </si>
  <si>
    <t>GDMDRUS0006</t>
  </si>
  <si>
    <t>Semiluksky district (LLC Ekosfera) landfill</t>
  </si>
  <si>
    <t>Voronezh region</t>
  </si>
  <si>
    <t>Semiluksky district (LLC Ekosfera)</t>
  </si>
  <si>
    <t>GDMDRUS0007</t>
  </si>
  <si>
    <t>Gorod Krasnodar landfill</t>
  </si>
  <si>
    <t>Krasnodar region</t>
  </si>
  <si>
    <t>Gorod Krasnodar</t>
  </si>
  <si>
    <t>GDMDRUS0008</t>
  </si>
  <si>
    <t>MSW landfill with. Nadezhdino</t>
  </si>
  <si>
    <t>GDMDRUS0009</t>
  </si>
  <si>
    <t>Kpo Vostok
КПО Восток</t>
  </si>
  <si>
    <t>Kpo Vostok
КПО</t>
  </si>
  <si>
    <t>GDMDRUS0010</t>
  </si>
  <si>
    <t>Narimanovsky District landfill</t>
  </si>
  <si>
    <t>Astrakhan region</t>
  </si>
  <si>
    <t>Narimanovsky District</t>
  </si>
  <si>
    <t>GDMDRUS0011</t>
  </si>
  <si>
    <t>Ordzhonikidzevskiy Rayon landfill</t>
  </si>
  <si>
    <t>Kemerovo region</t>
  </si>
  <si>
    <t>Ordzhonikidzevskiy Rayon</t>
  </si>
  <si>
    <t>GDMDRUS0012</t>
  </si>
  <si>
    <t>Landfill for the disposal of solid waste in the city of Tomsk in the area with. Sukhoreche, 1 stage landfill</t>
  </si>
  <si>
    <t>Tomsk region</t>
  </si>
  <si>
    <t>Landfill for the disposal of solid waste in the city of Tomsk in the area with. Sukhoreche, 1 stage</t>
  </si>
  <si>
    <t>GDMDRUS0013</t>
  </si>
  <si>
    <t>"Spetsavtokhozyaystvo" landfill</t>
  </si>
  <si>
    <t>Tula region</t>
  </si>
  <si>
    <t>"Spetsavtokhozyaystvo"</t>
  </si>
  <si>
    <t>GDMDRUS0014</t>
  </si>
  <si>
    <t>Myasnikovsky landfill</t>
  </si>
  <si>
    <t>Rostov region</t>
  </si>
  <si>
    <t>Myasnikovsky</t>
  </si>
  <si>
    <t>GDMDSAU0001</t>
  </si>
  <si>
    <t>Novosibirsk</t>
  </si>
  <si>
    <t xml:space="preserve">Kingdom of Saudi Arabia </t>
  </si>
  <si>
    <t>https://www.google.com/maps/place/55%C2%B003'10.7%22N+83%C2%B004'23.2%22E/@55.0537276,83.0680369,800m/data=!3m1!1e3!4m4!3m3!8m2!3d55.052969!4d83.0730987?entry=ttu</t>
  </si>
  <si>
    <t>GDMDSAU0002</t>
  </si>
  <si>
    <t>IKSHA</t>
  </si>
  <si>
    <t>Moscow</t>
  </si>
  <si>
    <t>Waste to Energy international https://wteinternational.com/projects/landfills/landfill-iksha/</t>
  </si>
  <si>
    <t>Area	50 hectares
Location	Moscow region, Russia
Status	In operation, partially rehabilitated https://wteinternational.com/projects/landfills/landfill-iksha/</t>
  </si>
  <si>
    <t>MBEUBEUSS</t>
  </si>
  <si>
    <t>Dakar</t>
  </si>
  <si>
    <t>SEN</t>
  </si>
  <si>
    <t>National Sanitation Authority of Senegal (ONAS)</t>
  </si>
  <si>
    <t xml:space="preserve">As regards territorial development, the following institutions are essentially responsible for urban and solid waste management, as well as the evaluation and monitoring of environmental issues: the National Sanitation Authority of Senegal (ONAS). Acoding to SUMMARY REPORT OF THE ENVIRONMENTAL AND SOCIAL IMPACT ASSESSMENT: https://www.afdb.org/fileadmin/uploads/afdb/Documents/Environmental-and-Social-Assessments/Senegal%20Autoroute%20Dakar%20Diam%20Nadio%20Summary%20EIES%20ENG%20%282%29.pdf 
The National Sanitation Authority of Senegal (ONAS) is a public entity that was created in 1986 by the Senegalese government to manage the country's sanitation services. ONAS is responsible for the planning, construction, and maintenance of sanitation infrastructure throughout Senegal, including the management of solid waste disposal sites such as the Mbeubeuss landfill in Dakar.
</t>
  </si>
  <si>
    <t>GDMDSEN0001</t>
  </si>
  <si>
    <t>Vinča</t>
  </si>
  <si>
    <t>Belgrade</t>
  </si>
  <si>
    <t>Senegal</t>
  </si>
  <si>
    <t>SRB</t>
  </si>
  <si>
    <t>THE WORLD'S 50 BIGGEST DUMPSITES, WASTE ATLAS REPORT 2014 
The 130 hectare site, equivalent to roughly about 180 football fields, had never officially been a disposal area and lacked basic landfill facilities such as a drainage system. Located 15 kilometres from the city centre and in operation since 1977, Vinca was one of the largest open dumping landfills in Europe, hosting more than 700,000 tonnes of waste a year. According to Helping Belgrade redevelop its previously unmanaged Vinca landfill, including new waste-to-energy project: https://www.arup.com/projects/vinca-landfill-redevelopment-serbia
The Vinca landfill complex covers an area of about 70 ha. The landfill was opened in 1977, and until 2014 approximately 14,500,000 tons of MSW have been collected from the city and disposed off at this site. From Belgrade Solid Waste Management Optimization – Potential of Landfill Gas Recovery https://www.researchgate.net/publication/292141566_Belgrade_Solid_Waste_Management_Optimization_-_Potential_of_Landfill_Gas_Recovery
The Vinča landfill is the largest unmanaged open dump left in Europe. The landfill absorbs 600 truckloads of trash every day: 1,500 tons of household waste and 3,000 tons of construction waste. Despite taking up as much space as 185 European football fields, the landfill is running out of space to accommodate the new waste delivered daily. https://www.ifc.org/wps/wcm/connect/news_ext_content/ifc_external_corporate_site/news+and+events/news/cm-stories/serbia-waste-to-energy
As of 2017, the landfill covers an area of 68 ha (170 acres) and receives some 2,700 t (2,700 long tons; 3,000 short tons) of garbage daily, which includes not only the domestic waste but also earth and rubble. In August 2021, city officials estimated that the landfill, after 44 years of existence, contains 20 million tonnes (20,000,000 long tons; 22,000,000 short tons) of garbage, annually receives additional 0.5 million tonnes (490,000 long tons; 550,000 short tons) and, in total, released over 4 billion cubic metres (140×109 cu ft) of methane in the atmosphere. Largest deposits are estimated to be 100 metres (330 ft) deep.[12] From Wikipedia: https://en.wikipedia.org/wiki/Vin%C4%8Da
Temporary closed: Serbia closed its huge Vinca landfill, almost three weeks after acrid smoke engulfed the capital Belgrade following a fire at the site, the Tanjug news agency reported on Thursday, citing Irena Vujovic, country's minister for environmental protection. According to the report, Vujovic said that the now-closed landfill would be stabilised from sliding and recultivated by 2023. https://www.reuters.com/world/europe/serbia-closes-largest-unmanaged-landfill-europe-report-2021-08-26/
The settlement is populated by families (17 families, for a total of 85 people including 38 children) collecting, classifying and selling secondary raw materials from the landfill. The resettlement plan also deals with the collectors of secondary raw materials (89 people) and the seven companies in charge of these collections. https://www.ebrd.com/documents/comms-and-bis/esia-46758-nts.pdf</t>
  </si>
  <si>
    <t>City of Belgrade</t>
  </si>
  <si>
    <t>PUC Gradska čistoća, Beograd (GC)</t>
  </si>
  <si>
    <t xml:space="preserve">
The ownership and management of the landfill is handled by the public utility company  Beo Čista Energija d.o.o. (BCE)  which is responsible for waste management in Belgrade. The company is owned by the City of Belgrade. 
The site is currently operated by PUC Gradska čistoća, Beograd (GC), the waste management company owned by the City. From European Bank for Reconstruction and Development: https://www.ebrd.com/documents/comms-and-bis/esia-46758-nts.pdf</t>
  </si>
  <si>
    <t>GDMDSLE0001</t>
  </si>
  <si>
    <t>GRANVILLE BROOK DUMPSITE (KISSY DUMPSITE)</t>
  </si>
  <si>
    <t>Freetown</t>
  </si>
  <si>
    <t>Sierra Leone</t>
  </si>
  <si>
    <t>SLE</t>
  </si>
  <si>
    <t>Freetown City Council (FCC)</t>
  </si>
  <si>
    <t>The Granville Brook Dumpsite, also known as Kissy Dumpsite, is located in Freetown, Sierra Leone. It was owned and operated by the Freetown City Council.</t>
  </si>
  <si>
    <t>GDMDSRB0001</t>
  </si>
  <si>
    <t>ARLINGTON WASTE DUMPSITE</t>
  </si>
  <si>
    <t>Port Elizabeth</t>
  </si>
  <si>
    <t>Serbia</t>
  </si>
  <si>
    <t>ZAF</t>
  </si>
  <si>
    <t>Southern Africa</t>
  </si>
  <si>
    <t>THE WORLD'S 50 BIGGEST DUMPSITES, WASTE ATLAS REPORT 2014 
Security is a major issue on the landfill sites, there is poor access control. Up to 300 informal recyclers have been recorded on Arlington. https://www.nelsonmandelabay.gov.za/datarepository/documents/final-nmbm-iwmp-2016-2020.pdf
Table E1: Annual disposal tonnages for Arlington landfill site https://www.nelsonmandelabay.gov.za/datarepository/documents/final-nmbm-iwmp-2016-2020.pdf</t>
  </si>
  <si>
    <t xml:space="preserve">Nelson Mandela Bay Municipality (NMBM) </t>
  </si>
  <si>
    <t>Arlington landfill is a waste disposal site located in Port Elizabeth, South Africa. It is operated by the Nelson Mandela Bay Municipality and receives around 800 tons of waste per day. The landfill covers an area of approximately 60 hectares and has a capacity of approximately 9 million cubic meters. https://www.nelsonmandelabay.gov.za/datarepository/documents/final-nmbm-iwmp-2016-2020.pdf</t>
  </si>
  <si>
    <t>GDMDTHA0001</t>
  </si>
  <si>
    <t>LUIPAARDSVLEI</t>
  </si>
  <si>
    <t>Kagiso</t>
  </si>
  <si>
    <t>Thailand</t>
  </si>
  <si>
    <t>THE WORLD'S 50 BIGGEST DUMPSITES, WASTE ATLAS REPORT 2014 
The site then received about 500 t of waste per day. It had no entrance control and was not being operated according to the Minimum Requirements stipulated by DWAF. https://journals.co.za/doi/pdf/10.10520/EJC90453#:~:text=In%201999%2C%20the%20Minister%20of,Minimum%20Requirements%20stipulated%20by%20DWAF.</t>
  </si>
  <si>
    <t>Mogale City Local Municipality</t>
  </si>
  <si>
    <t xml:space="preserve">Alleged mismanagement at landfill site. Trash diggers working at the Luipaardsvlei landfill site is fed up being ill treated by the management. Trash diggers working at the Luipaardsvlei landfill site is fed up being ill treated by the management. https://krugersdorpnews.co.za/272289/alleged-mismanagement-at-landfill-site/
The LUIPAARDSVLEI landfill is a waste disposal site located in Kagiso, a township in the Gauteng province of South Africa. It is operated by the Mogale City Local Municipality and receives waste from the surrounding areas. The landfill site is one of the largest in the province, covering an area of approximately 22 hectares.
PROVINCE
Gauteng
MUNICIPALITY
Mogale City
WARD LOCATION
Whole of the Municipality https://municipalmoney.gov.za/infrastructure/projects/103199/
https://infrastructurenews.co.za/2015/08/05/luipaardsvlei-landfill-employs-green-erosion-control/
</t>
  </si>
  <si>
    <t>GDMDTLS0001</t>
  </si>
  <si>
    <t>NEW ENGLAND ROAD WASTE DUMPSITE</t>
  </si>
  <si>
    <t>Pietermarzburg</t>
  </si>
  <si>
    <t>Timor-Leste</t>
  </si>
  <si>
    <t>Msunduzi Municipality</t>
  </si>
  <si>
    <t>The New England Road Landfill Site is a licensed facility that is managed by the Municipality, and is the largest disposal facility in the KZN Midlands. The Site spans an area of 44 hectares, of which 29 hectares is currently being filled. According to: Final Integrated development plan. The landfill is managed by the Msunduzi Municipality, which is responsible for waste management in the area. http://www.msunduzi.gov.za/site/search/downloadencode/Msunduzi%20IDP%202022-27%2030.05.22%20(2).pdf</t>
  </si>
  <si>
    <t>GDMDTZA0001</t>
  </si>
  <si>
    <t>LAGOON DUMPSITE</t>
  </si>
  <si>
    <t>Juba</t>
  </si>
  <si>
    <t>THE WORLD'S 50 BIGGEST DUMPSITES, WASTE ATLAS REPORT 2014 
Volume of daily Waste (t) Approx. 500 t (approx. 60-70 trucks x 8 tonnes) . https://wedocs.unep.org/bitstream/handle/20.500.11822/19538/municipal_solid_waste_dumpsite_SouthSudan.pdf?sequence=1&amp;isAllowed=y</t>
  </si>
  <si>
    <t>Juba City Council</t>
  </si>
  <si>
    <t xml:space="preserve">Located on Yei road, less than 10 km to the south west limits of Juba, the Lagoon Dumpsite has been in use since 2008. From 2012 onwards, a partnership between the Juba City Council. https://jubainthemaking.com/lagoon-dumpsite/
Property owned by Juba Municipality/ County (the community owned site area is seeded to the County and managed by the Municipality) </t>
  </si>
  <si>
    <t>GDMDTZA0002</t>
  </si>
  <si>
    <t>THA</t>
  </si>
  <si>
    <t>GDMDTZA0003</t>
  </si>
  <si>
    <t xml:space="preserve">TIBAR </t>
  </si>
  <si>
    <t>Tibar</t>
  </si>
  <si>
    <t>TLS</t>
  </si>
  <si>
    <t>Díli Municipal Authority (DMA)</t>
  </si>
  <si>
    <t>Dili District Administration (DDA)</t>
  </si>
  <si>
    <t>Dili District Administration (DDA) under the Ministry of State Administration is responsible for solid waste collection services in Dili. All wastes collected from Dili town and surrounding areas are disposed of at the Tibar dump, which is also managed by DDA’s Sanitation Department. The dump has been in
operation since 1982, and covers an area of 22 hectares.  Although there is no weigh bridge, the offi cer on duty from the DDA’s Sanitation Department is responsible for inspecting and keeping a record of the number of vehicles and the value of wastes being disposed of at the landfi ll. Based on inspection, wastes are categorized into: general mixed rubbish, construction waste, scrap metal, and expired goods for deep burial.
DDA’s Sanitation Department employs 11 staff to work at the Tibar dump, including a supervisor; bulldozer drivers; and another eight to register vehicles, monitor trucks. https://www.adb.org/sites/default/files/publication/42661/solid-waste-management-timor-leste.pdf</t>
  </si>
  <si>
    <t>GDMDUGA0001</t>
  </si>
  <si>
    <t>Kiteezi </t>
  </si>
  <si>
    <t>Lusanja</t>
  </si>
  <si>
    <t>Uganda</t>
  </si>
  <si>
    <t>UGA</t>
  </si>
  <si>
    <t>According to The 36-acre landfill was established in 1996 and is the dump for almost all garbage collected across Kampala.
Lukwago said it received about 1,500 tonnes of waste a day.https://www.kurdistan24.net/en/story/36239-Death-toll-from-Uganda-rubbish-dump-landslide-rises-to-12</t>
  </si>
  <si>
    <t>Kampala Capital City Authority (KCCA)</t>
  </si>
  <si>
    <t>https://www.kcca.go.ug/</t>
  </si>
  <si>
    <t>GDMDUKR0001</t>
  </si>
  <si>
    <t>GASPRA (Yalta)</t>
  </si>
  <si>
    <t>Yalta</t>
  </si>
  <si>
    <t>Ukraine</t>
  </si>
  <si>
    <t>UKR</t>
  </si>
  <si>
    <t>https://www.google.com/maps/place/Gasprinskaya+Svalka/@44.4494101,34.1040945,825m/data=!3m1!1e3!4m12!1m5!3m4!2zNDTCsDI2JzU3LjkiTiAzNMKwMDYnMjQuMCJF!8m2!3d44.4494063!4d34.1066694!3m5!1s0x4094c7b7deaaaaab:0x4eacdb10af6ac724!8m2!3d44.4499398!4d34.1063639!16s%2Fg%2F11sskr51lr?entry=ttu</t>
  </si>
  <si>
    <t>The Yalta landfill has a total extension of 5.7 hectares and commenced
operation in 1973. Approximately 60,000 tons of waste per year has gone into the landfill and the total amount of waste in the landfill is approximately 1.3 million tons. The Yalta landfill consists of two major sections, one of which is currently receiving waste. The other section with a total area of 3.4 ha has already reached its capacity and is closed. The LFG collection system will be installed at this old part of the landfill. https://ji.unfccc.int/UserManagement/FileStorage/C4HMO04Y1YYU6K5UKOPCC4U8YUI8L5</t>
  </si>
  <si>
    <t xml:space="preserve">Yalta Municipality </t>
  </si>
  <si>
    <t>GDMDUKR0002</t>
  </si>
  <si>
    <t>ALUSHTA</t>
  </si>
  <si>
    <t>Alushta</t>
  </si>
  <si>
    <t>Alushta City State Administration</t>
  </si>
  <si>
    <t>Alushta City Council</t>
  </si>
  <si>
    <t xml:space="preserve">The Quebrada Honda landfill located in the city of Arequipa in the department of Arequipa, Peru, is operating and is about to complete its useful life. The cell for the expansion of the disposal vessel No. 1 of the landfill was made in a period of fifteen (15) months, complying with all current regulations that apply to the project so that it has a greater storage capacity and its life. useful is prolonged while a definitive solution emerges. The community of Arequipa has an adequate disposal of household waste generated as a result of daily chores, where sophisticated technologies have been used to help mitigate negative impacts on the environment.http://repository.unipiloto.edu.co/handle/20.500.12277/12262
Operation of the Alushta landfill commenced in 1960. The Alushta landfill area is 6.9 hectares with approximately 720,000 tons of waste in place. The landfill owner is Alushta City State Administration and the landfill operator is the municipal waste transportation company. Today, the landfill has not
reached capacity and, therefore, has no plans to close. https://ji.unfccc.int/UserManagement/FileStorage/C4HMO04Y1YYU6K5UKOPCC4U8YUI8L5
</t>
  </si>
  <si>
    <t>GDMDVEN0001</t>
  </si>
  <si>
    <t>TZA</t>
  </si>
  <si>
    <t>GDMDVEN0002</t>
  </si>
  <si>
    <t>GDMDZAF0001</t>
  </si>
  <si>
    <t>PUGU KINYAMWEZI</t>
  </si>
  <si>
    <t>South Africa</t>
  </si>
  <si>
    <t>THE WORLD'S 50 BIGGEST DUMPSITES, WASTE ATLAS REPORT 2014 
The dump site receives about 800-1500 tons of waste from the municipalities. This is only one third of the generated waste, which totals about 4200 tons per day in the city of Dar es Salaam.
The Pugu Kinyamwezi waste disposal site was conducted in March and April 2016 after 12 years approval of the EIA report to assess current status of solid waste disposal activities and other ongoing operations at the dump site since its operation started in 2009. The site is operated as an open dump with wastes scattered across the 65 hectares.
 https://www.researchgate.net/publication/316561973_FROM_SANITARY_LANDFILL_TO_A_DUMP_SITE_PUGU_KINYAMWEZI_COMMUNITY_CURSE_IN_DAR_ES_SALAAM_TANZANIA</t>
  </si>
  <si>
    <t>Dar es Salaam City Council (DCC)</t>
  </si>
  <si>
    <t xml:space="preserve">the Dar es Salaam city council constructed another landfill within the dump area. https://www.waste.ccacoalition.org/sites/default/files/files/4.1.5._upgrade_of_the_pugu_dumpsite_and_construction_of_sanitary_lfs_in_dar_es_salaam.pdf
Currently, Dar Es Salaam is served by a single legal dumpsite, namely Pugu Kinyamwezi, which is located approximately 34 km from the city centre. https://cff-prod.s3.amazonaws.com/storage/files/h052rbt537EzV1NyiMaPiR7gawnj4s0qc6YLK5KN.pdf
The Dar es Salaam City Council (DCC) was established in 1996. As per the 2012 ... Pugu Kinyamwezi dumpsite, located 30 km from the city centre.https://www.cseindia.org/content/downloadreports/10947
</t>
  </si>
  <si>
    <t>GDMDZAF0002</t>
  </si>
  <si>
    <t>Parroquia Chiquinquirá</t>
  </si>
  <si>
    <t>VEN</t>
  </si>
  <si>
    <t>GDMDZAF0003</t>
  </si>
  <si>
    <t>SAN JOSECITO</t>
  </si>
  <si>
    <t>San Josecito</t>
  </si>
  <si>
    <t>servidor-opsu.tach.ula.ve_x000D_
_x000D_
http://www.lanacion.com.ve/regional/ministerio-de-ambiente-y-mandesta-comenzaron-saneamiento-del-vertedero-de-san-josecito/</t>
  </si>
  <si>
    <t>Torbes municipality</t>
  </si>
  <si>
    <t>Metropolitan Association of Solid Waste of the Táchira state (Mandesta)</t>
  </si>
  <si>
    <t>the Metropolitan Association of Solid Waste of the Táchira state (Mandesta), the responsibility for the management of the San Josecito, which will be presided over by the Mayor of the Torbes municipality. http://www.minec.gob.ve/gobernacion-del-tachira-transfiere-a-mandesta-manejo-del-vertedero-de-san-josecito/</t>
  </si>
  <si>
    <t>location_accuracy</t>
  </si>
  <si>
    <t>MSW, Medical Waste, Other Waste</t>
  </si>
  <si>
    <t>MSW, Hospital Waste</t>
  </si>
  <si>
    <t>MSW, Industrial Waste</t>
  </si>
  <si>
    <t>MSW, Hazardous Waste, E-waste</t>
  </si>
  <si>
    <t>MSW, Medical Waste, Hazardous waste</t>
  </si>
  <si>
    <t>MSW, Medical Waste, Hazardous Waste, E-waste</t>
  </si>
  <si>
    <t>MSW, Industrial Waste, Hospital Waste</t>
  </si>
  <si>
    <t>MSW, Industrial Waste, Hospital Waste, Other Waste</t>
  </si>
  <si>
    <t>MSW, Hazardous Waste, Mixed Waste</t>
  </si>
  <si>
    <t>MSW, Demolition Debris, Hazardous Waste, Slaughterhouse Waste.</t>
  </si>
  <si>
    <t>MSW, Institutional Waste, Residential Waste, Commercial Waste</t>
  </si>
  <si>
    <t xml:space="preserve">MSW, Household Waste, Commercial Waste, Industrial Waste, Medical Waste </t>
  </si>
  <si>
    <t>MSW, Construction Waste, Industrial Waste, Medical Waste, Hazardous Waste</t>
  </si>
  <si>
    <t>Kyrgyzstan</t>
  </si>
  <si>
    <t>South Sudan</t>
  </si>
  <si>
    <t>SSD</t>
  </si>
  <si>
    <t>Tanzania</t>
  </si>
  <si>
    <t>Venezuela</t>
  </si>
  <si>
    <t>GDMDSSD0001</t>
  </si>
  <si>
    <r>
      <rPr>
        <b/>
        <sz val="11"/>
        <color theme="1"/>
        <rFont val="Calibri"/>
        <family val="2"/>
        <scheme val="minor"/>
      </rPr>
      <t>Product:</t>
    </r>
    <r>
      <rPr>
        <sz val="11"/>
        <color theme="1"/>
        <rFont val="Calibri"/>
        <family val="2"/>
        <scheme val="minor"/>
      </rPr>
      <t xml:space="preserve"> GeoWaste database</t>
    </r>
  </si>
  <si>
    <r>
      <rPr>
        <b/>
        <sz val="11"/>
        <color theme="1"/>
        <rFont val="Calibri"/>
        <family val="2"/>
        <scheme val="minor"/>
      </rPr>
      <t>Product scope</t>
    </r>
    <r>
      <rPr>
        <sz val="11"/>
        <color theme="1"/>
        <rFont val="Calibri"/>
        <family val="2"/>
        <scheme val="minor"/>
      </rPr>
      <t>: Uncontrolled waste disposal, or dumpsites, receiving municipal solid waste, covering 200 major active dumpsites around the world.</t>
    </r>
  </si>
  <si>
    <t>Savar upazila</t>
  </si>
  <si>
    <t>https://ejatlas.org/conflict/waste-dumping-amin-bazar
https://journal-buildingscities.org/articles/10.5334/bc.108</t>
  </si>
  <si>
    <t>Currently, two landfills in Matuail and Aminbazar serve the Dhaka South City Corporation (DSCC) and Dhaka North City Corporation (DNCC), respectively. 
https://www.ncbi.nlm.nih.gov/pmc/articles/PMC7611925/#:~:text=The%20other%20landfill%20at%20Matuail,five%20zones%20of%20the%20DSCC.
https://journal-buildingscities.org/articles/10.5334/bc.108</t>
  </si>
  <si>
    <t>Exact</t>
  </si>
  <si>
    <t>Modeled</t>
  </si>
  <si>
    <t>Xinfeng dumpsite</t>
  </si>
  <si>
    <t>Xinfeng Township</t>
  </si>
  <si>
    <t>https://iaa.textiles.org/awards/207195/</t>
  </si>
  <si>
    <t>GDMDGHA0002</t>
  </si>
  <si>
    <t>Oti-Dompoase dumpsite</t>
  </si>
  <si>
    <t>Kumasi</t>
  </si>
  <si>
    <t>E-waste, MSW</t>
  </si>
  <si>
    <t>https://www.sciencedirect.com/science/article/pii/S2667010021002869</t>
  </si>
  <si>
    <t>Kumasi Metropolitan Assembly (KMA) </t>
  </si>
  <si>
    <t>The Dompoase landfill is a designed landfill supervised by the Kumasi Metropolitan Assembly (KMA) 
https://www.sciencedirect.com/science/article/pii/S2667010021002869</t>
  </si>
  <si>
    <t>CEAMSE (Coordinación Ecológica Área Metropolitana Sociedad del Estado)</t>
  </si>
  <si>
    <t xml:space="preserve">
The main landfill serving the Buenos Aires Metropolitan Area, including the region of Campo de Mayo, is the Complejo Ambiental Norte III, operated by the state-owned entity CEAMSE (Coordinación Ecológica Área Metropolitana Sociedad del Estado). This large facility is one of the biggest in South America, processing a substantial amount of waste daily. 
http://news.xinhuanet.com/english/2017-06/05/c_136341345.htm#:~:text=ARGENTINA%2DCAMPO%20DE%20MAYO%2DWASTE%20PROCESS.%20Image%20taken%20on,Campo%20de%20Mayo%2C%20near%20Buenos%20Aires%2C%20Argentina.</t>
  </si>
  <si>
    <t>Cancino dumpsite</t>
  </si>
  <si>
    <t>Government of Djibouti</t>
  </si>
  <si>
    <t>The Douda Dumpsite in Djibouti was closed in 2019 due to being saturated, which led to the establishment of an informal landfill at the Chabelley site https://int.anteagroup.com/projects/feasibility-studies-carried-out-by-antea-group#:~:text=Key%20Figures-,The%20Challenge,negative%20environmental%20and%20social%20impacts.</t>
  </si>
  <si>
    <t>Chabelley -Douda Dumpsite</t>
  </si>
  <si>
    <t>La Duquesa</t>
  </si>
  <si>
    <t>Difrah dumpsite</t>
  </si>
  <si>
    <t>The Teixeira de Freitas landfill</t>
  </si>
  <si>
    <t>Teixeira de Freitas, Bahia</t>
  </si>
  <si>
    <t>Nova Corumbá dumpsite</t>
  </si>
  <si>
    <t>State of Maranhão dumpsite</t>
  </si>
  <si>
    <t>Predio</t>
  </si>
  <si>
    <t>Campo de Mayo landfill</t>
  </si>
  <si>
    <t>state-owned CEAMSE (Ecological Coordination Society of the State Metropolitan Area)</t>
  </si>
  <si>
    <t>Agbogbloshie</t>
  </si>
  <si>
    <t>Bakoteh Dumpsite</t>
  </si>
  <si>
    <t xml:space="preserve">El Trebol </t>
  </si>
  <si>
    <t>Tegucigalpa Dumpsite</t>
  </si>
  <si>
    <t>Bantar Gebang (or Bantargebang)</t>
  </si>
  <si>
    <t>Suwung dumpsite</t>
  </si>
  <si>
    <t>Tangerang City</t>
  </si>
  <si>
    <t>TPA Jatiwaringin</t>
  </si>
  <si>
    <t>Cipeucang dumpsite (TPA)</t>
  </si>
  <si>
    <t xml:space="preserve">South Tangerang city </t>
  </si>
  <si>
    <t>https://waste4change.com/blog/handling-the-impact-of-waste-landslide-at-the-cipeucang-landfill-south-tangerang-indonesia/</t>
  </si>
  <si>
    <t>Sampah Burangkeng dumspite (TPA)</t>
  </si>
  <si>
    <t>Google maps https://maps.app.goo.gl/k1m1CAmN4iTSCMk39</t>
  </si>
  <si>
    <t>TPA Supit Urang</t>
  </si>
  <si>
    <t>TPA Sampah Ciangir</t>
  </si>
  <si>
    <t>TPA Bukit Pinang ( Tempat Pembuangan Sampah Akhir )</t>
  </si>
  <si>
    <t>Tempat Pembuangan Akhir (TPA) Putri Cempo</t>
  </si>
  <si>
    <t>Cipayung-Depok dumpsite (TPA)</t>
  </si>
  <si>
    <t>Kantor timbang UPTD PSA Kabupaten Bekasi</t>
  </si>
  <si>
    <t>https://maps.app.goo.gl/FZeUf24Rx5rx4QBF7 Kantor timbang UPTD PSA Kabupaten Bekasi
Government office</t>
  </si>
  <si>
    <t>UPT TPA SAMPAH BINJAI</t>
  </si>
  <si>
    <t>TPA Bakung</t>
  </si>
  <si>
    <t>Taman TPA Bukit 1</t>
  </si>
  <si>
    <t>TPA ijobalit</t>
  </si>
  <si>
    <t>Bariya Landfills</t>
  </si>
  <si>
    <t>AL-ZUHOR LANDFILL</t>
  </si>
  <si>
    <t>Kalyan dumpsite</t>
  </si>
  <si>
    <t>Kalyan-Dombivli dumpsite</t>
  </si>
  <si>
    <t>Trichy Dumpsite</t>
  </si>
  <si>
    <t>Jaipur Dumpsite</t>
  </si>
  <si>
    <t>Jharkhand dumpsite</t>
  </si>
  <si>
    <t>Gurgaon Faridabad dumpsite</t>
  </si>
  <si>
    <t>Salugara dumpsite</t>
  </si>
  <si>
    <t>Nizamabad dumpsite</t>
  </si>
  <si>
    <t>Chakradharpur dumpsite</t>
  </si>
  <si>
    <t>Bhuasuni dumpsite</t>
  </si>
  <si>
    <t>Visakhapatnam dumpsite</t>
  </si>
  <si>
    <t>Kenya</t>
  </si>
  <si>
    <t>Gioto dumpsite (Nakuru)</t>
  </si>
  <si>
    <t>Nakuru</t>
  </si>
  <si>
    <t xml:space="preserve">
https://www.theguardian.com/environment/gallery/2023/nov/17/waste-pickers-nairobi-dandora-dump-site-in-pictures</t>
  </si>
  <si>
    <t>https://journal-buildingscities.org/articles/10.5334/bc.108</t>
  </si>
  <si>
    <t>https://en.antaranews.com/news/296781/rawa-kucing-landfill-fire-bnpb-sends-one-waterbombing-helicopter#:~:text=It%20was%20predicted%20that%20the,smoke%20from%20the%20burning%20landfill.&amp;text=Tags:
https://www.thejakartapost.com/news/2020/01/02/overcapacity-at-rawa-kucing-landfill-blamed-for-bad-smell-health-issues.html#:~:text=It%20has%20also%20brought%20flies%20into%20residents',is%20overcapacity%20at%20the%20Rawa%20Kucing%20landfill.</t>
  </si>
  <si>
    <t>Nakuru County Government</t>
  </si>
  <si>
    <t>https://kutv.co.ke/nakuru-county-kew-technology-power-plan-to-turn-giotto-trash-into-gold/#:~:text=Nakuru%20County%2D%20KEW%20Technology%20power,All%20Rights%20Reserved.</t>
  </si>
  <si>
    <t>Google maps: https://maps.app.goo.gl/uNkfGN3g66kb7zc17
https://toxictours.org/location/kenya-gioto-dumpsite-nakuru-county/</t>
  </si>
  <si>
    <t>Sefrou dumpsite</t>
  </si>
  <si>
    <t>Douar Ait Bouhcine dusmpite</t>
  </si>
  <si>
    <t>Mazatlán</t>
  </si>
  <si>
    <t xml:space="preserve"> Mazatlán dumspite</t>
  </si>
  <si>
    <t>Rosandrema dumpsite</t>
  </si>
  <si>
    <t>Las Matas</t>
  </si>
  <si>
    <t>Carretera Transístmica Las Matas</t>
  </si>
  <si>
    <t>Numarán Michoacán dumpsite</t>
  </si>
  <si>
    <t>Cañada de Ramírez, Numarán, Michoacán</t>
  </si>
  <si>
    <t>Navojoa dumpsite</t>
  </si>
  <si>
    <t>La Campana, Navojoa, Sonora</t>
  </si>
  <si>
    <t>Champotón, Campeche dumpsite</t>
  </si>
  <si>
    <t>Ameca dumpsite</t>
  </si>
  <si>
    <t>Matang dumpsite</t>
  </si>
  <si>
    <t>Oyo state dumpsite</t>
  </si>
  <si>
    <t>Isolo dumpsite</t>
  </si>
  <si>
    <t>Oyo State dumpsite</t>
  </si>
  <si>
    <t xml:space="preserve">Chinandega Botadero dump </t>
  </si>
  <si>
    <t>Jam Chakro</t>
  </si>
  <si>
    <t>Google Maps
https://www.google.com/maps/place/Vivero+Municipal+de+San+Rom%C3%A1n/@-15.4981134,-70.1033339,839m/data=!3m1!1e3!4m12!1m5!3m4!2zMTXCsDI5JzU3LjQiUyA3MMKwMDYnMTAuNyJX!8m2!3d-15.49927!4d-70.10296!3m5!1s0x9167f375a7c8362b:0x87021b3ff2a7ee9e!8m2!3d-15.4998616!4d-70.1041708!16s%2Fg%2F11qqv8xlq9?entry=ttu</t>
  </si>
  <si>
    <t>Karisma dumpsite</t>
  </si>
  <si>
    <t>Ryazan landfill</t>
  </si>
  <si>
    <t>Ryazan Oblast</t>
  </si>
  <si>
    <t>Buqayq Landfill</t>
  </si>
  <si>
    <t>Al Madina landfill</t>
  </si>
  <si>
    <t>Dammam</t>
  </si>
  <si>
    <t>Nong Khang Phlu dumpsite</t>
  </si>
  <si>
    <t xml:space="preserve">Bangkok </t>
  </si>
  <si>
    <t>Ijobalit</t>
  </si>
  <si>
    <t>Google maps: https://maps.app.goo.gl/KZqmt2qhKzA4NU8X6
Global Plastic Watch</t>
  </si>
  <si>
    <t>Pandan Selatan</t>
  </si>
  <si>
    <t>Google maps: https://maps.app.goo.gl/NybZYCbKW2sSsBf26
Global Plastic Watch</t>
  </si>
  <si>
    <t xml:space="preserve"> Buaran Jati</t>
  </si>
  <si>
    <t>Google maps: https://maps.app.goo.gl/g26GfAmZLCz28FKB7
Global Plastic Watch</t>
  </si>
  <si>
    <t>Tamansari</t>
  </si>
  <si>
    <t>Google maps: https://maps.app.goo.gl/atD4E6V6WDUAMMeX8
Global Plastic Watch</t>
  </si>
  <si>
    <t>Bukit Pinang</t>
  </si>
  <si>
    <t>Google maps: https://maps.app.goo.gl/7vN7SizzBuCdPuBB6
Global Plastic Watch</t>
  </si>
  <si>
    <t>Mojosongo</t>
  </si>
  <si>
    <t>Google maps: https://maps.app.goo.gl/i3sYwCqaGuPZZkPq8
Global Plastic Watch</t>
  </si>
  <si>
    <t>Tunggurono</t>
  </si>
  <si>
    <t>Google maps: https://maps.app.goo.gl/hNDiFaR4yipgCxPs9
Global Plastic Watch</t>
  </si>
  <si>
    <t>Keteguhan</t>
  </si>
  <si>
    <t>Google maps: https://maps.app.goo.gl/C8jt8ex4bP4ERKqA6
Global Plastic Watch</t>
  </si>
  <si>
    <t>Paya Pasir</t>
  </si>
  <si>
    <t>Google maps: https://maps.app.goo.gl/nEqEpyDeu4qtasUt6
Global Plastic Watch</t>
  </si>
  <si>
    <t>Khajod dumpsite</t>
  </si>
  <si>
    <t>Surat</t>
  </si>
  <si>
    <t>Google maps: https://maps.app.goo.gl/UDmFEwLGDJxEQ2HN6
Global Plastic Watch</t>
  </si>
  <si>
    <t>Surat municipality</t>
  </si>
  <si>
    <t>BA PRERNA CLEANEARTH PRIVATE LIMITED</t>
  </si>
  <si>
    <t>https://maps.app.goo.gl/Lqm4eWNpRxNA5hWi9</t>
  </si>
  <si>
    <t>KDMC Aadharwadi dumpsite</t>
  </si>
  <si>
    <t>Google maps: https://maps.app.goo.gl/K1ByVzxr75gHdW2N8
Global Plastic Watch</t>
  </si>
  <si>
    <t>Kalyan municipality</t>
  </si>
  <si>
    <t>https://maps.app.goo.gl/c7E44XnWt1qTvBjcA</t>
  </si>
  <si>
    <t>Bhandewadi Dumpsite</t>
  </si>
  <si>
    <t>Nagpur</t>
  </si>
  <si>
    <t>Nagpur municipality</t>
  </si>
  <si>
    <t>https://maps.app.goo.gl/JX2wk1dmqgetQSDEA</t>
  </si>
  <si>
    <t>Kaylan</t>
  </si>
  <si>
    <t>Khadakpada municipality</t>
  </si>
  <si>
    <t>https://maps.app.goo.gl/BxcQpN6nMCBh6kMt5</t>
  </si>
  <si>
    <t>Tiruchirappalli</t>
  </si>
  <si>
    <t>Tiruchirappalli Municipality</t>
  </si>
  <si>
    <t>https://maps.app.goo.gl/q53V8ZxDW7Ji8wuFA</t>
  </si>
  <si>
    <t>Jaipur</t>
  </si>
  <si>
    <t>Jaipur municipality</t>
  </si>
  <si>
    <t>https://maps.app.goo.gl/4S4Dwqvk8CEGDLLo8</t>
  </si>
  <si>
    <t>Nanta dumpsite</t>
  </si>
  <si>
    <t>Rajasthan</t>
  </si>
  <si>
    <t>Nanta trenching ground, municipal corporation</t>
  </si>
  <si>
    <t>https://maps.app.goo.gl/neQMZGGuf1ZFSJdo8</t>
  </si>
  <si>
    <t>Jharkhand</t>
  </si>
  <si>
    <t>Jharkhand municipality</t>
  </si>
  <si>
    <t>https://maps.app.goo.gl/gerZ18YzFv6timGw6</t>
  </si>
  <si>
    <t>Sewapura dumpsite</t>
  </si>
  <si>
    <t xml:space="preserve">Rajasthan </t>
  </si>
  <si>
    <t>Udaipuriya Municipality</t>
  </si>
  <si>
    <t>https://maps.app.goo.gl/cPsdEQ1EeJHgdQ538</t>
  </si>
  <si>
    <t xml:space="preserve">Faridabad - Gurgaon </t>
  </si>
  <si>
    <t>Faridabad - Gurgaon Municipality</t>
  </si>
  <si>
    <t>https://maps.app.goo.gl/s1eAm2qPo2UnbWRz8</t>
  </si>
  <si>
    <t>West Bengal</t>
  </si>
  <si>
    <t>West Bengal Municipality</t>
  </si>
  <si>
    <t>https://maps.app.goo.gl/DFsEH8p3CffWcvGJ9</t>
  </si>
  <si>
    <t>Anandanagar Srinivasa puram Thanjavur dumpsite</t>
  </si>
  <si>
    <t>Thanjavur</t>
  </si>
  <si>
    <t>Anandanagar Srinivasa puram Thanjavur Municipality</t>
  </si>
  <si>
    <t>https://maps.app.goo.gl/JVfxtix7TX5q5uWFA</t>
  </si>
  <si>
    <t>Nizamabad</t>
  </si>
  <si>
    <t>Nizamabad Municipality</t>
  </si>
  <si>
    <t>https://maps.app.goo.gl/ngS1bEG17FZScLgW8</t>
  </si>
  <si>
    <t>Chakradharpur</t>
  </si>
  <si>
    <t>Chakradharpur Municipality</t>
  </si>
  <si>
    <t>https://maps.app.goo.gl/2BxfSS78bg7pgXst7</t>
  </si>
  <si>
    <t>Bhuasuni</t>
  </si>
  <si>
    <t>Bhuasuni municipality</t>
  </si>
  <si>
    <t>https://maps.app.goo.gl/vKqxKFAH2kPEZojW9</t>
  </si>
  <si>
    <t>Kapuluppada</t>
  </si>
  <si>
    <t>Kapuluppada municipality</t>
  </si>
  <si>
    <t>https://maps.app.goo.gl/FSXXLyWQPkG66oBz5</t>
  </si>
  <si>
    <t>Sefrou</t>
  </si>
  <si>
    <t>Douar Ait Bouhcine</t>
  </si>
  <si>
    <t>Champotón</t>
  </si>
  <si>
    <t>Champotón is one of the most populated municipalities in the state of Campeche and lacks infrastructure for final disposal  in its municipal seat and in its localities. In order to achieve an intermunicipal project, Champotón should build, together with  Escarcega and Candelaria municipalities located to the south, a solid waste management infrastructure at an intermediate point between the three of them to generate good practices in terms of treatment and landfilling, and with this close the current open dumpsite.</t>
  </si>
  <si>
    <t>Ameca</t>
  </si>
  <si>
    <t>The municipality of Ameca</t>
  </si>
  <si>
    <t>The municipality of Ameca has two open dumps completely out of control, one that was already closed has once again received waste derived from the mismanagement and inaction of the local government. This is the largest and represents an environmental liability and risk for surrounding land uses. The municipality of Ameca must close the two opendumsites and form an intermunicipal project with the municipalities of Cocula, Acatlán de Juárez, Villa Corona and San Martín Hidalgo, which together generate around 150 t/d of solid waste.</t>
  </si>
  <si>
    <t>San Juan Bautista Tuxtepec, Oaxaca dumpsite</t>
  </si>
  <si>
    <t>San Juan Bautista Tuxtepec</t>
  </si>
  <si>
    <t>Municipality of San Juan Bautista Tuxtepec</t>
  </si>
  <si>
    <t>The opendumsite of the municipality of San Juan Bautista Tuxtepec in the state of Oaxaca is also used by the municipality of San Chiltepec (where it is physically located), which increases its volume of operation. Technically is totally abandoned to any sanitary landfill practice and urbanization has progressively caught up with it and it will soon be surrounded by residential areas. This condition urges it to be closed and rebuilt elsewhere with municipalities participating in an intermunicipal project.</t>
  </si>
  <si>
    <t xml:space="preserve">Tamazunchale dumpsite </t>
  </si>
  <si>
    <t>Tamazunchale, San Luis Potosí</t>
  </si>
  <si>
    <t>Municipality of Tamazunchale, San Luis Potosí</t>
  </si>
  <si>
    <t>The open dumpsite in the municipality of Tamazunchale, San Luis Potosí, is another example of the fluctuating interest that local administrations give to the issue of solid waste management. Occasionally it improves, but usually it is a mess, without order, without coverage, with intentional burning, with arbitrary growth, etc. In this case, the appropriate actions would be to close the current dumpsite and project an intermunicipal infraestructure with other municipalities in the southern region of San Luis Potosí state.</t>
  </si>
  <si>
    <t>Cárdenas, Tabasco dumpsite</t>
  </si>
  <si>
    <t>Cárdenas, Tabasco</t>
  </si>
  <si>
    <t>State of Tabasco</t>
  </si>
  <si>
    <t>The opendump of Cárdenas, is one of many that abound in the state of Tabasco. It is a real possibility of moving towards an intermunicipal models all over the state of Tabasco, 3 or 4 maybe, but it is a priority to define technically and operationally viable locations to close all its open dumps and move to treatment and recycling plants and landfills that comply with NOM-083.</t>
  </si>
  <si>
    <t>Huimanguillo, Tabasco dumpsite</t>
  </si>
  <si>
    <t>Huimanguillo, Tabasco</t>
  </si>
  <si>
    <t>Same situation for all the opendumps in Tabasco</t>
  </si>
  <si>
    <t>Carretera Tenosique-El Ceibo dumpsite</t>
  </si>
  <si>
    <t>Carretera Tenosique-El Ceibo, Tabasco</t>
  </si>
  <si>
    <t>Progreso dumpsite</t>
  </si>
  <si>
    <t>Progreso</t>
  </si>
  <si>
    <t>The municipality of Progeso</t>
  </si>
  <si>
    <t>One more example of final disposal sites that are left in the hands of the informal sector. On the same plot, the open dump had an access on the eastern side that, as seen in the satellite images, has been partially closed and it is known that today it has a transfer station that sends waste from the municipality of Progeso to the landfill of Mérida, Yucatán. However, to contain the claims of the informal sector, they opened access to the same land but on the western side, which as described by Google Earth is an absolute disorder with permanent open burning. The port of Progreso has high urbanization pressure due to its attractiveness such as beach and the continuous expansion of Mérida towards its limits, so this site will be absorbed sooner rather than later by the construction of new real estate developments. The site must be completely closed, the transfer station must be expanded and the informal sector must be incorporated into other sources of work or, failing that, into the jobs that are generated in an intermunicipal model that apparently already exists in Mérida and the municipalities attached to the capital of Yucatán.</t>
  </si>
  <si>
    <t>Matang</t>
  </si>
  <si>
    <t>Gbagada dumpsite</t>
  </si>
  <si>
    <t>Ifako/Ijaye dumpsite</t>
  </si>
  <si>
    <t>Ifo dumpsite</t>
  </si>
  <si>
    <t>Idimu-Alimosho dumpsite</t>
  </si>
  <si>
    <t>Oshodi/Isolo dumpsite</t>
  </si>
  <si>
    <t xml:space="preserve"> Onitsha dumpsite</t>
  </si>
  <si>
    <t xml:space="preserve">Onitsha </t>
  </si>
  <si>
    <t>Oluyole-Oyo dumpsite</t>
  </si>
  <si>
    <t>Oluyole, Oyo</t>
  </si>
  <si>
    <t>Delta dumpsite</t>
  </si>
  <si>
    <t>Delta</t>
  </si>
  <si>
    <t>Oshimili North dumpsite</t>
  </si>
  <si>
    <t>Epe</t>
  </si>
  <si>
    <t>Badagry dumpsite</t>
  </si>
  <si>
    <t xml:space="preserve">Al Madina </t>
  </si>
  <si>
    <t>Google maps:  https://maps.app.goo.gl/T72hQ5akBtiVquYL7</t>
  </si>
  <si>
    <t xml:space="preserve">Amanah </t>
  </si>
  <si>
    <t>Al Yamamah</t>
  </si>
  <si>
    <t>The landfill is owned by the Amanah and is operated by Al Yamamah. Buqayq landfill receives 75% of the Cluster’s MSW (Dammam, Khobar, Dhahran, and Qatif) and is located 50 km SW of Dammam City. It is a non-engineered landfill and its operation started in 1995. It is close to exceed its capacity.There is an area within the fenced landfill area where tyres are disposed of. Outside the landfill, there is presence of informal sector burning tyres to take out metal wire.</t>
  </si>
  <si>
    <t>Google maps: https://maps.google.com/?q=24.3208989,39.4471658</t>
  </si>
  <si>
    <t>Dar es Salaam</t>
  </si>
  <si>
    <t>Tungi- Kigamboni Municipal dumspite</t>
  </si>
  <si>
    <t>Temeke MC dumpsite</t>
  </si>
  <si>
    <t>Bacabal, dumpsite</t>
  </si>
  <si>
    <t>Bacabal</t>
  </si>
  <si>
    <t>Itapipoca Dumpsite</t>
  </si>
  <si>
    <t>Itapipoca</t>
  </si>
  <si>
    <t>Ilhéus dumpsite</t>
  </si>
  <si>
    <t>Ilhéus</t>
  </si>
  <si>
    <t>El relleno “La Doradita” dumpsite</t>
  </si>
  <si>
    <t>La Dorada</t>
  </si>
  <si>
    <t>GOOGLE MAPS:https://maps.app.goo.gl/6MwHr4tVFwZgcwGm7</t>
  </si>
  <si>
    <t>La Dorada MUNICIPAL</t>
  </si>
  <si>
    <t>https://maps.app.goo.gl/6MwHr4tVFwZgcwGm7</t>
  </si>
  <si>
    <t>GDMDIND0001</t>
  </si>
  <si>
    <t>GDMDIND0002</t>
  </si>
  <si>
    <t>GDMDIND0003</t>
  </si>
  <si>
    <t>GDMDIND0004</t>
  </si>
  <si>
    <t>GDMDIND0005</t>
  </si>
  <si>
    <t>GDMDIND0006</t>
  </si>
  <si>
    <t>GDMDIND0007</t>
  </si>
  <si>
    <t>GDMDIND0008</t>
  </si>
  <si>
    <t>GDMDIND0009</t>
  </si>
  <si>
    <t>GDMDIND0010</t>
  </si>
  <si>
    <t>GDMDIND0011</t>
  </si>
  <si>
    <t>GDMDIND0012</t>
  </si>
  <si>
    <t>GDMDIND0013</t>
  </si>
  <si>
    <t>GDMDIND0014</t>
  </si>
  <si>
    <t>GDMDIND0015</t>
  </si>
  <si>
    <t>Pirana dumpsite</t>
  </si>
  <si>
    <t>Pune</t>
  </si>
  <si>
    <t>Pune dumpsite</t>
  </si>
  <si>
    <t>Howrah dumpsite</t>
  </si>
  <si>
    <t>Mumbai Metropolitan Region</t>
  </si>
  <si>
    <t>Gujarat dumpsite</t>
  </si>
  <si>
    <t>Gujarat</t>
  </si>
  <si>
    <t>Maharashtra dumpsite</t>
  </si>
  <si>
    <t>Kamarhati dumpsite</t>
  </si>
  <si>
    <t xml:space="preserve">Kamarhati </t>
  </si>
  <si>
    <t>Panihati dumpsite</t>
  </si>
  <si>
    <t>DANDORA dumpsite</t>
  </si>
  <si>
    <t>Tepic dumpsite</t>
  </si>
  <si>
    <t>Camino Viejo a Jauja, Tepic</t>
  </si>
  <si>
    <t>Camino a la Cajilota, Lomas de Tejeda</t>
  </si>
  <si>
    <t>Victoria, Tamaulipas dumpsite</t>
  </si>
  <si>
    <t>Susulá, Mérida</t>
  </si>
  <si>
    <t>Tapachula dumpsite</t>
  </si>
  <si>
    <t>Tapachula, Chiapas</t>
  </si>
  <si>
    <t>Iwaya dumpsite</t>
  </si>
  <si>
    <t>São Domingos de Rana, Cascais</t>
  </si>
  <si>
    <t>Trajouce dumpsite</t>
  </si>
  <si>
    <t>Municipio Maracaibo</t>
  </si>
  <si>
    <t>Parroquia Chiquinquirá dumspite</t>
  </si>
  <si>
    <t>https://maps.app.goo.gl/5taDU1zLLpgEmKmc6</t>
  </si>
  <si>
    <t>Google Maps: https://maps.app.goo.gl/d3yZYGuZzcvLMvej8</t>
  </si>
  <si>
    <t>Navojoa municipal</t>
  </si>
  <si>
    <t>area_ha</t>
  </si>
  <si>
    <t>Pinalagad dumpsite</t>
  </si>
  <si>
    <t>open_burning_type</t>
  </si>
  <si>
    <t>open_burning_count</t>
  </si>
  <si>
    <t>open_burning_confidence_level</t>
  </si>
  <si>
    <t>As reported in the NASA Fire Information for Resource Management System (FIRMS), this value represents the algorithm’s qualitative estimate of the likelihood that a detected hotspot corresponds to an actual fire. The confidence is derived from a combination of intermediate algorithm parameters such as thermal anomaly strength and potential contamination from solar reflection (Sun glint). Confidence levels are classified as low (L), nominal (N), or high (H).
Low (L): Typically associated with weak mid-infrared temperature anomalies (&lt;15 K) or possible Sun glint interference.
Nominal (N): Represents stronger (&gt;15 K) temperature anomalies, free from Sun glint contamination.
High (H): Indicates saturated thermal pixels observed during day or night, strongly suggesting an active fire.
These categories are defined by the VIIRS active fire detection algorithm and are intended to help users gauge the reliability of individual fire detections.</t>
  </si>
  <si>
    <t>This variable represents the total number of fire detections (hotspots) identified by the NASA VIIRS (Visible Infrared Imaging Radiometer Suite) active fire product within or up to 100 meters of each dumpsite boundary during the study period (2020–2024). Each detection corresponds to a thermal anomaly identified by the VIIRS sensor and reported through the NASA Fire Information for Resource Management System (FIRMS). The count reflects the frequency of observed open-burning activity near a dumpsite, regardless of confidence level or fire type, and serves as a quantitative indicator of how often fire events were detected in the vicinity of each site.</t>
  </si>
  <si>
    <t>This variable indicates the inferred source or type of each detected fire hotspot reported by the NASA VIIRS active fire product via FIRMS. The values are coded numerically as follows:
0: Presumed vegetation fire
1: Active volcano
2: Other static land source
3: Offshore detection (includes all detections over water)
These classifications are based on algorithmic interpretation of thermal anomaly characteristics and geographic context, and they provide insight into the likely origin of each detected hotspot</t>
  </si>
  <si>
    <t>This variable represents the average confidence level of all VIIRS fire detections recorded within or near each dumpsite (≤100 m buffer) during the study period. The categorical confidence values reported in FIRMS were first converted to numeric equivalents (low = 0, nominal = 1, and high = 2) and then averaged across all detections associated with each site. The resulting mean values were used to derive an overall confidence label (“low”, “nominal”, or “high”), providing a quantitative indicator of the typical detection confidence for open-burning activity at each dumpsite.</t>
  </si>
  <si>
    <t>high</t>
  </si>
  <si>
    <t>nominal</t>
  </si>
  <si>
    <t>low</t>
  </si>
  <si>
    <t>presumed vegetation fire</t>
  </si>
  <si>
    <t>presumed vegetation fire; other static land source</t>
  </si>
  <si>
    <r>
      <t>Area that is covered with waste. The unit selected is hectares (ha) (10,000 m</t>
    </r>
    <r>
      <rPr>
        <vertAlign val="superscript"/>
        <sz val="10"/>
        <color theme="1"/>
        <rFont val="Roboto"/>
      </rPr>
      <t>2</t>
    </r>
    <r>
      <rPr>
        <sz val="10"/>
        <color theme="1"/>
        <rFont val="Roboto"/>
      </rPr>
      <t>). The area was calculated using QGIS.</t>
    </r>
  </si>
  <si>
    <r>
      <rPr>
        <b/>
        <sz val="11"/>
        <color theme="1"/>
        <rFont val="Calibri"/>
        <family val="2"/>
        <scheme val="minor"/>
      </rPr>
      <t>Developed by:</t>
    </r>
    <r>
      <rPr>
        <sz val="11"/>
        <color theme="1"/>
        <rFont val="Calibri"/>
        <family val="2"/>
        <scheme val="minor"/>
      </rPr>
      <t xml:space="preserve"> Dr Amani Maalouf</t>
    </r>
  </si>
  <si>
    <r>
      <t>The estimated annual total greenhouse gas (GHG) emissions, expressed in metric tonnes of CO</t>
    </r>
    <r>
      <rPr>
        <sz val="8"/>
        <color theme="1"/>
        <rFont val="Roboto"/>
      </rPr>
      <t>2</t>
    </r>
    <r>
      <rPr>
        <sz val="10"/>
        <color theme="1"/>
        <rFont val="Roboto"/>
      </rPr>
      <t xml:space="preserve"> equivalent per year (tCO</t>
    </r>
    <r>
      <rPr>
        <vertAlign val="subscript"/>
        <sz val="10"/>
        <color theme="1"/>
        <rFont val="Roboto"/>
      </rPr>
      <t>2 eq</t>
    </r>
    <r>
      <rPr>
        <sz val="10"/>
        <color theme="1"/>
        <rFont val="Roboto"/>
      </rPr>
      <t>.yr</t>
    </r>
    <r>
      <rPr>
        <vertAlign val="superscript"/>
        <sz val="10"/>
        <color theme="1"/>
        <rFont val="Roboto"/>
      </rPr>
      <t>-1</t>
    </r>
    <r>
      <rPr>
        <sz val="10"/>
        <color theme="1"/>
        <rFont val="Roboto"/>
      </rPr>
      <t>), represent the total methane (CH₄) emissions generated by solid waste disposal sites (dumpsites). These estimates are based on a 100-year Global Warming Potential (GWP) factor, using a GWP of 28 for CH₄, without accounting for the carbon content of the methane, as defined in the IPCC Sixth Assessment Report (AR6).</t>
    </r>
  </si>
  <si>
    <t xml:space="preserve">Estimates the population speculated to be potentially affected calculated for an indicative arbitrary radius of 10 km from the apparent centre of each dumpsite, based on population data from 2020.
Data source: European Comission.  GHSL - Global Human Settlement Layer dataset. Study: European Commission, GHSL Data Package 2023, Publications Office of the European Union, Luxembourg, 2023, doi:10.2760/098587, JRC133256
Available at: https://ghsl.jrc.ec.europa.eu/download.php?ds=pop
Download at: https://firms.modaps.eosdis.nasa.gov/download/ </t>
  </si>
  <si>
    <t>Presence of open burning (yes/no). Indicates whether any open burning activity was detected within or up to 100 meters of the dumpsite. 
Open burning is defined as waste deposited in an uncontrolled or unmanaged disposal site (dumpsite) that is subsequently combusted in an open/uncontrolled fire, whether intentionally, accidentally, or spontaneously.
Data were retrieved from the NASA Fire Information for Resource Management System (FIRMS) for the full calendar years 2020–2024. 
FIRMS provides near real-time global active fire detections from MODIS and VIIRS satellite instruments. 
Source: NASA VIIRS Land Science Team. (2020). VIIRS NOAA-20 (JPSS-1) 375m, I-Band Active Fire Product NRT (Vector Data) [Data set]. NASA LANCE MODIS at the MODAPS. https://doi.org/10.5067/FIRMS/VIIRS/VJ114IMGT_NRT.002 Date Accessed: 2025-10-08</t>
  </si>
  <si>
    <t xml:space="preserve">The typology of its waste disposal facility, i.e., whether it is a controlled or uncontrolled dumpsite, or other. In accordance with the UN-Habitat classification in the Waste Wise Cities Tool (WaCT) (2021): https://unhabitat.org/wwc-tool </t>
  </si>
  <si>
    <t xml:space="preserve">Controlled </t>
  </si>
  <si>
    <t>Uncontrolled</t>
  </si>
  <si>
    <t>Camino a la Cajilota, Lomas de Tejeda dumpsite</t>
  </si>
  <si>
    <t>log_area</t>
  </si>
  <si>
    <t>log_annual_waste</t>
  </si>
  <si>
    <t>log_informal_sector</t>
  </si>
  <si>
    <t>log_population_10k</t>
  </si>
  <si>
    <t>norm_area</t>
  </si>
  <si>
    <t>norm_annual_waste</t>
  </si>
  <si>
    <t>norm_informal_sector</t>
  </si>
  <si>
    <t>norm_population_10k</t>
  </si>
  <si>
    <t>priority_score</t>
  </si>
  <si>
    <t>priority_score_flag</t>
  </si>
  <si>
    <t>Variable of whether the prioritisation score includes imputed values due to missing input data.
The priority_score_flag is a Boolean variable indicating whether one or more of the input attributes used to calculate the priority_score (area, annual waste disposal, informal sector size, or population within 10 km) were missing and replaced with the median normalised value during score computation.
FALSE: all input attributes were available and the score is fully data-derived
TRUE: at least one input attribute was missing and median imputation was applied
This flag provides transparency on data completeness and allows users to filter or weight scores according to their tolerance for imputed values.</t>
  </si>
  <si>
    <t>Screening-level prioritisation score (0–100) indicating the relative importance of a dumpsite based on multiple site characteristics associated with scale and potential impact. 
Units: Dimensionless (scale: 0–100). 
The priority_score is a composite index derived using a multi-criteria analysis (MCA) that equally weights four normalised site-level attributes: site area (ha), annual waste disposal amount (t·yr⁻¹), number of informal waste workers, and population potentially affected within a 10 km radius. Each attribute is log-transformed, min–max normalised to the range [0,1], and aggregated using equal weights. 
Higher values indicate larger dumpsites that are likely to pose higher potential environmental and social pressures and therefore warrant higher priority for monitoring, mitigation, or intervention.
Higher scores represent dumpsites that combine larger physical scale, higher waste throughput, greater human exposure, and/or greater informal-sector involvement. The score is intended for screening and prioritisation purposes and for guiding decision making only and does not represent a quantified measure of environmental or human health impact.</t>
  </si>
  <si>
    <t xml:space="preserve">Unique ID of asset within this database
</t>
  </si>
  <si>
    <t>https://www.probechosa.com/</t>
  </si>
  <si>
    <t>Name of the organisation(s) responsible for day-to-day operation, maintenance, waste acceptance and site management.</t>
  </si>
  <si>
    <t>Indicates the source of information related to ownership details by providing a source link when available.</t>
  </si>
  <si>
    <t>Organisation(s) that owns the dumpsite.
Name of the legal or institutional entity that holds formal title or statutory accountability for the dumpsite. This is the entity ultimately responsible for the site in public records (may be different from day-to-day operator).</t>
  </si>
  <si>
    <t>Indicates the origin of the data, either by providing a source link of the reported value or by specifying if the value is a modeled estimate.</t>
  </si>
  <si>
    <r>
      <t>Annual Waste Disposal (t.yr</t>
    </r>
    <r>
      <rPr>
        <vertAlign val="superscript"/>
        <sz val="10"/>
        <color theme="1"/>
        <rFont val="Roboto"/>
      </rPr>
      <t>-1</t>
    </r>
    <r>
      <rPr>
        <sz val="10"/>
        <color theme="1"/>
        <rFont val="Roboto"/>
      </rPr>
      <t>) refers to the amount of waste, expressed in metric tonnes (t), which are being disposed of every year (yr).</t>
    </r>
  </si>
  <si>
    <t>Year dumpsite opened or began accepting waste (YYYY) or year of establishment (YYYY).</t>
  </si>
  <si>
    <t>Operational status of the dumpsite (Active/Inactive/Closed).</t>
  </si>
  <si>
    <t xml:space="preserve">Indicates the origin of the data by providing a source link. </t>
  </si>
  <si>
    <t>The accuracy of the latitude and longitude.</t>
  </si>
  <si>
    <r>
      <rPr>
        <b/>
        <sz val="11"/>
        <color theme="1"/>
        <rFont val="Calibri"/>
        <family val="2"/>
        <scheme val="minor"/>
      </rPr>
      <t>Version:</t>
    </r>
    <r>
      <rPr>
        <sz val="11"/>
        <color theme="1"/>
        <rFont val="Calibri"/>
        <family val="2"/>
        <scheme val="minor"/>
      </rPr>
      <t xml:space="preserve"> V2.0 - December 2025</t>
    </r>
  </si>
  <si>
    <t>Copyright © Maalouf, Et al. (2026)</t>
  </si>
  <si>
    <t>GeoWaste - Global Database of Major Dumpsites</t>
  </si>
  <si>
    <t>This database was developed by Dr. Amani Maalouf. Please contact [amani.maalouf@smithschool.ox.ac.uk] to inform us about any errors, omissions or other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</si>
</sst>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_-* #,##0.000_-;\-* #,##0.000_-;_-* &quot;-&quot;??_-;_-@_-"/>
    <numFmt numFmtId="166" formatCode="_-* #,##0.0_-;\-* #,##0.0_-;_-* &quot;-&quot;??_-;_-@_-"/>
    <numFmt numFmtId="167" formatCode="#,##0.00_ ;\-#,##0.00\ "/>
  </numFmts>
  <fonts count="18">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2"/>
      <color theme="1"/>
      <name val="Calibri"/>
      <family val="2"/>
      <scheme val="minor"/>
    </font>
    <font>
      <sz val="8"/>
      <name val="Arial"/>
      <family val="2"/>
    </font>
    <font>
      <sz val="10"/>
      <color theme="1"/>
      <name val="Roboto"/>
    </font>
    <font>
      <b/>
      <sz val="10"/>
      <color theme="1"/>
      <name val="Roboto"/>
    </font>
    <font>
      <b/>
      <sz val="16"/>
      <color theme="1"/>
      <name val="Calibri"/>
      <family val="2"/>
      <scheme val="minor"/>
    </font>
    <font>
      <sz val="11"/>
      <name val="Calibri"/>
      <family val="2"/>
      <scheme val="minor"/>
    </font>
    <font>
      <b/>
      <sz val="14"/>
      <color theme="0"/>
      <name val="Calibri"/>
      <family val="2"/>
      <scheme val="minor"/>
    </font>
    <font>
      <u/>
      <sz val="11"/>
      <color theme="10"/>
      <name val="Calibri"/>
      <family val="2"/>
      <scheme val="minor"/>
    </font>
    <font>
      <sz val="11"/>
      <color rgb="FF000000"/>
      <name val="Calibri"/>
      <family val="2"/>
      <scheme val="minor"/>
    </font>
    <font>
      <sz val="10"/>
      <name val="Arial CE"/>
    </font>
    <font>
      <vertAlign val="superscript"/>
      <sz val="10"/>
      <color theme="1"/>
      <name val="Roboto"/>
    </font>
    <font>
      <vertAlign val="subscript"/>
      <sz val="10"/>
      <color theme="1"/>
      <name val="Roboto"/>
    </font>
    <font>
      <sz val="8"/>
      <color theme="1"/>
      <name val="Roboto"/>
    </font>
    <font>
      <u/>
      <sz val="1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8"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3" tint="0.79998168889431442"/>
        <bgColor indexed="64"/>
      </patternFill>
    </fill>
  </fills>
  <borders count="5">
    <border>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s>
  <cellStyleXfs count="7">
    <xf numFmtId="0" fontId="0" fillId="0" borderId="0"/>
    <xf numFmtId="43" fontId="1" fillId="0" borderId="0" applyFont="0" applyFill="0" applyBorder="0" applyAlignment="0" applyProtection="0"/>
    <xf numFmtId="0" fontId="5" fillId="0" borderId="0"/>
    <xf numFmtId="0" fontId="11" fillId="0" borderId="0" applyNumberFormat="0" applyFill="0" applyBorder="0" applyAlignment="0" applyProtection="0"/>
    <xf numFmtId="43" fontId="1" fillId="0" borderId="0" applyFont="0" applyFill="0" applyBorder="0" applyAlignment="0" applyProtection="0"/>
    <xf numFmtId="0" fontId="12" fillId="0" borderId="0"/>
    <xf numFmtId="43" fontId="13" fillId="0" borderId="0" applyFont="0" applyFill="0" applyBorder="0" applyAlignment="0" applyProtection="0"/>
  </cellStyleXfs>
  <cellXfs count="72">
    <xf numFmtId="0" fontId="0" fillId="0" borderId="0" xfId="0"/>
    <xf numFmtId="0" fontId="4" fillId="0" borderId="0" xfId="0" applyFont="1" applyAlignment="1">
      <alignment vertical="top"/>
    </xf>
    <xf numFmtId="0" fontId="6" fillId="0" borderId="0" xfId="2" applyFont="1" applyAlignment="1">
      <alignment horizontal="left" vertical="top"/>
    </xf>
    <xf numFmtId="0" fontId="7" fillId="2" borderId="0" xfId="2" applyFont="1" applyFill="1" applyAlignment="1">
      <alignment horizontal="left" vertical="top"/>
    </xf>
    <xf numFmtId="0" fontId="0" fillId="0" borderId="0" xfId="0" applyAlignment="1">
      <alignment horizontal="left" vertical="top"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vertical="top"/>
    </xf>
    <xf numFmtId="0" fontId="2" fillId="0" borderId="0" xfId="0" applyFont="1"/>
    <xf numFmtId="0" fontId="8" fillId="0" borderId="0" xfId="0" applyFont="1" applyAlignment="1">
      <alignment vertical="center"/>
    </xf>
    <xf numFmtId="0" fontId="0" fillId="0" borderId="0" xfId="0" applyAlignment="1">
      <alignment horizontal="left" vertical="top"/>
    </xf>
    <xf numFmtId="43" fontId="0" fillId="0" borderId="0" xfId="0" applyNumberFormat="1"/>
    <xf numFmtId="0" fontId="0" fillId="0" borderId="4" xfId="0" applyBorder="1" applyAlignment="1">
      <alignment horizontal="right"/>
    </xf>
    <xf numFmtId="43" fontId="0" fillId="0" borderId="4" xfId="1" applyFont="1" applyFill="1" applyBorder="1" applyAlignment="1">
      <alignment horizontal="right"/>
    </xf>
    <xf numFmtId="164" fontId="10" fillId="3" borderId="1" xfId="1" applyNumberFormat="1" applyFont="1" applyFill="1" applyBorder="1" applyAlignment="1">
      <alignment horizontal="left" vertical="top"/>
    </xf>
    <xf numFmtId="49" fontId="9" fillId="0" borderId="4" xfId="1" applyNumberFormat="1" applyFont="1" applyFill="1" applyBorder="1" applyAlignment="1"/>
    <xf numFmtId="49" fontId="9" fillId="0" borderId="3" xfId="1" applyNumberFormat="1" applyFont="1" applyFill="1" applyBorder="1" applyAlignment="1"/>
    <xf numFmtId="0" fontId="0" fillId="0" borderId="4" xfId="0" applyBorder="1"/>
    <xf numFmtId="0" fontId="10" fillId="3" borderId="1" xfId="0" applyFont="1" applyFill="1" applyBorder="1" applyAlignment="1">
      <alignment horizontal="left" vertical="top"/>
    </xf>
    <xf numFmtId="0" fontId="10" fillId="3" borderId="2" xfId="0" applyFont="1" applyFill="1" applyBorder="1" applyAlignment="1">
      <alignment horizontal="left" vertical="top"/>
    </xf>
    <xf numFmtId="49" fontId="10" fillId="3" borderId="1" xfId="0" applyNumberFormat="1" applyFont="1" applyFill="1" applyBorder="1" applyAlignment="1">
      <alignment horizontal="left" vertical="top"/>
    </xf>
    <xf numFmtId="164" fontId="10" fillId="3" borderId="2" xfId="1" applyNumberFormat="1" applyFont="1" applyFill="1" applyBorder="1" applyAlignment="1">
      <alignment horizontal="left" vertical="top"/>
    </xf>
    <xf numFmtId="165" fontId="10" fillId="3" borderId="2" xfId="1" applyNumberFormat="1" applyFont="1" applyFill="1" applyBorder="1" applyAlignment="1">
      <alignment horizontal="left" vertical="top"/>
    </xf>
    <xf numFmtId="0" fontId="10" fillId="3" borderId="0" xfId="0" applyFont="1" applyFill="1" applyAlignment="1">
      <alignment horizontal="left" vertical="top"/>
    </xf>
    <xf numFmtId="164" fontId="9" fillId="0" borderId="3" xfId="1" applyNumberFormat="1" applyFont="1" applyFill="1" applyBorder="1" applyAlignment="1"/>
    <xf numFmtId="164" fontId="9" fillId="0" borderId="4" xfId="1" applyNumberFormat="1" applyFont="1" applyFill="1" applyBorder="1" applyAlignment="1"/>
    <xf numFmtId="43" fontId="9" fillId="0" borderId="3" xfId="1" applyFont="1" applyFill="1" applyBorder="1" applyAlignment="1"/>
    <xf numFmtId="0" fontId="9" fillId="0" borderId="4" xfId="1" applyNumberFormat="1" applyFont="1" applyFill="1" applyBorder="1" applyAlignment="1"/>
    <xf numFmtId="43" fontId="9" fillId="0" borderId="4" xfId="1" applyFont="1" applyFill="1" applyBorder="1" applyAlignment="1"/>
    <xf numFmtId="164" fontId="9" fillId="0" borderId="0" xfId="1" applyNumberFormat="1" applyFont="1" applyFill="1" applyBorder="1" applyAlignment="1"/>
    <xf numFmtId="0" fontId="10" fillId="0" borderId="0" xfId="0" applyFont="1" applyAlignment="1">
      <alignment horizontal="left" vertical="top"/>
    </xf>
    <xf numFmtId="164" fontId="0" fillId="0" borderId="0" xfId="1" applyNumberFormat="1" applyFont="1" applyFill="1" applyAlignment="1"/>
    <xf numFmtId="0" fontId="0" fillId="0" borderId="3" xfId="0" applyBorder="1"/>
    <xf numFmtId="49" fontId="0" fillId="0" borderId="4" xfId="0" applyNumberFormat="1" applyBorder="1"/>
    <xf numFmtId="164" fontId="0" fillId="0" borderId="3" xfId="1" applyNumberFormat="1" applyFont="1" applyBorder="1" applyAlignment="1"/>
    <xf numFmtId="165" fontId="0" fillId="0" borderId="3" xfId="1" applyNumberFormat="1" applyFont="1" applyBorder="1" applyAlignment="1"/>
    <xf numFmtId="3" fontId="0" fillId="0" borderId="4" xfId="0" applyNumberFormat="1" applyBorder="1"/>
    <xf numFmtId="164" fontId="0" fillId="0" borderId="4" xfId="1" applyNumberFormat="1" applyFont="1" applyBorder="1" applyAlignment="1"/>
    <xf numFmtId="2" fontId="9" fillId="0" borderId="4" xfId="1" applyNumberFormat="1" applyFont="1" applyFill="1" applyBorder="1" applyAlignment="1"/>
    <xf numFmtId="2" fontId="9" fillId="0" borderId="3" xfId="1" applyNumberFormat="1" applyFont="1" applyFill="1" applyBorder="1" applyAlignment="1"/>
    <xf numFmtId="43" fontId="0" fillId="4" borderId="4" xfId="1" applyFont="1" applyFill="1" applyBorder="1" applyAlignment="1">
      <alignment horizontal="right"/>
    </xf>
    <xf numFmtId="0" fontId="0" fillId="0" borderId="0" xfId="0" applyAlignment="1">
      <alignment horizontal="left"/>
    </xf>
    <xf numFmtId="2" fontId="3" fillId="7" borderId="3" xfId="1" applyNumberFormat="1" applyFont="1" applyFill="1" applyBorder="1" applyAlignment="1">
      <alignment horizontal="left"/>
    </xf>
    <xf numFmtId="2" fontId="3" fillId="6" borderId="3" xfId="0" applyNumberFormat="1" applyFont="1" applyFill="1" applyBorder="1" applyAlignment="1">
      <alignment horizontal="left"/>
    </xf>
    <xf numFmtId="167" fontId="3" fillId="0" borderId="3" xfId="1" applyNumberFormat="1" applyFont="1" applyFill="1" applyBorder="1" applyAlignment="1">
      <alignment horizontal="left"/>
    </xf>
    <xf numFmtId="167" fontId="3" fillId="0" borderId="3" xfId="0" applyNumberFormat="1" applyFont="1" applyBorder="1" applyAlignment="1">
      <alignment horizontal="left"/>
    </xf>
    <xf numFmtId="167" fontId="3" fillId="5" borderId="3" xfId="0" applyNumberFormat="1" applyFont="1" applyFill="1" applyBorder="1" applyAlignment="1">
      <alignment horizontal="left"/>
    </xf>
    <xf numFmtId="0" fontId="6" fillId="0" borderId="0" xfId="2" applyFont="1" applyAlignment="1">
      <alignment horizontal="left" vertical="top" wrapText="1"/>
    </xf>
    <xf numFmtId="0" fontId="6" fillId="0" borderId="0" xfId="0" applyFont="1" applyAlignment="1">
      <alignment horizontal="left" vertical="top" wrapText="1"/>
    </xf>
    <xf numFmtId="0" fontId="9" fillId="0" borderId="4" xfId="0" applyFont="1" applyBorder="1"/>
    <xf numFmtId="49" fontId="17" fillId="0" borderId="4" xfId="3" applyNumberFormat="1" applyFont="1" applyFill="1" applyBorder="1" applyAlignment="1"/>
    <xf numFmtId="43" fontId="9" fillId="0" borderId="4" xfId="0" applyNumberFormat="1" applyFont="1" applyBorder="1"/>
    <xf numFmtId="43" fontId="9" fillId="0" borderId="0" xfId="1" applyFont="1" applyFill="1" applyAlignment="1"/>
    <xf numFmtId="0" fontId="17" fillId="0" borderId="4" xfId="3" applyFont="1" applyFill="1" applyBorder="1" applyAlignment="1"/>
    <xf numFmtId="2" fontId="9" fillId="0" borderId="4" xfId="0" applyNumberFormat="1" applyFont="1" applyBorder="1"/>
    <xf numFmtId="164" fontId="9" fillId="0" borderId="4" xfId="0" applyNumberFormat="1" applyFont="1" applyBorder="1"/>
    <xf numFmtId="166" fontId="9" fillId="0" borderId="3" xfId="1" applyNumberFormat="1" applyFont="1" applyFill="1" applyBorder="1" applyAlignment="1"/>
    <xf numFmtId="0" fontId="9" fillId="0" borderId="3" xfId="0" applyFont="1" applyBorder="1"/>
    <xf numFmtId="49" fontId="17" fillId="0" borderId="3" xfId="3" applyNumberFormat="1" applyFont="1" applyFill="1" applyBorder="1" applyAlignment="1"/>
    <xf numFmtId="164" fontId="9" fillId="0" borderId="4" xfId="4" applyNumberFormat="1" applyFont="1" applyFill="1" applyBorder="1" applyAlignment="1"/>
    <xf numFmtId="43" fontId="9" fillId="0" borderId="0" xfId="1" applyFont="1" applyFill="1" applyBorder="1" applyAlignment="1"/>
    <xf numFmtId="164" fontId="9" fillId="0" borderId="0" xfId="1" applyNumberFormat="1" applyFont="1" applyFill="1" applyAlignment="1"/>
    <xf numFmtId="0" fontId="9" fillId="0" borderId="0" xfId="0" applyFont="1"/>
    <xf numFmtId="165" fontId="9" fillId="0" borderId="3" xfId="1" applyNumberFormat="1" applyFont="1" applyFill="1" applyBorder="1" applyAlignment="1"/>
    <xf numFmtId="0" fontId="9" fillId="0" borderId="4" xfId="0" applyFont="1" applyBorder="1" applyAlignment="1">
      <alignment horizontal="right"/>
    </xf>
    <xf numFmtId="2" fontId="9" fillId="0" borderId="4" xfId="0" applyNumberFormat="1" applyFont="1" applyBorder="1" applyAlignment="1">
      <alignment horizontal="right"/>
    </xf>
    <xf numFmtId="3" fontId="9" fillId="0" borderId="4" xfId="0" applyNumberFormat="1" applyFont="1" applyBorder="1"/>
    <xf numFmtId="43" fontId="9" fillId="0" borderId="4" xfId="1" applyFont="1" applyFill="1" applyBorder="1" applyAlignment="1">
      <alignment horizontal="right"/>
    </xf>
    <xf numFmtId="49" fontId="9" fillId="0" borderId="4" xfId="0" applyNumberFormat="1" applyFont="1" applyBorder="1"/>
    <xf numFmtId="0" fontId="3" fillId="0" borderId="0" xfId="0" applyFont="1" applyAlignment="1">
      <alignment vertical="top"/>
    </xf>
    <xf numFmtId="0" fontId="0" fillId="0" borderId="0" xfId="0" applyAlignment="1">
      <alignment horizontal="left" vertical="top" wrapText="1"/>
    </xf>
  </cellXfs>
  <cellStyles count="7">
    <cellStyle name="Comma" xfId="1" builtinId="3"/>
    <cellStyle name="Comma 2" xfId="4" xr:uid="{DBFE0275-BE8C-42E8-B8C8-12454B599EB1}"/>
    <cellStyle name="Hyperlink" xfId="3" builtinId="8"/>
    <cellStyle name="Millares 2" xfId="6" xr:uid="{399D3CB2-CFDA-4C63-B8BD-05F8F632E29D}"/>
    <cellStyle name="Normal" xfId="0" builtinId="0"/>
    <cellStyle name="Normal 2" xfId="2" xr:uid="{5AF660AB-1F69-45AE-A675-E5713F40442D}"/>
    <cellStyle name="Normal 3" xfId="5" xr:uid="{FAB602C0-5223-4A69-B198-40848C1228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aps.app.goo.gl/JX2wk1dmqgetQSDEA" TargetMode="External"/><Relationship Id="rId3" Type="http://schemas.openxmlformats.org/officeDocument/2006/relationships/hyperlink" Target="https://iaa.textiles.org/awards/207195/" TargetMode="External"/><Relationship Id="rId7" Type="http://schemas.openxmlformats.org/officeDocument/2006/relationships/hyperlink" Target="https://maps.app.goo.gl/c7E44XnWt1qTvBjcA" TargetMode="External"/><Relationship Id="rId2" Type="http://schemas.openxmlformats.org/officeDocument/2006/relationships/hyperlink" Target="https://waste4change.com/blog/handling-the-impact-of-waste-landslide-at-the-cipeucang-landfill-south-tangerang-indonesia/" TargetMode="External"/><Relationship Id="rId1" Type="http://schemas.openxmlformats.org/officeDocument/2006/relationships/hyperlink" Target="https://journal-buildingscities.org/articles/10.5334/bc.108" TargetMode="External"/><Relationship Id="rId6" Type="http://schemas.openxmlformats.org/officeDocument/2006/relationships/hyperlink" Target="https://maps.app.goo.gl/Lqm4eWNpRxNA5hWi9" TargetMode="External"/><Relationship Id="rId5" Type="http://schemas.openxmlformats.org/officeDocument/2006/relationships/hyperlink" Target="https://maps.app.goo.gl/FZeUf24Rx5rx4QBF7%20Kantor%20timbang%20UPTD%20PSA%20Kabupaten%20BekasiGovernment%20office" TargetMode="External"/><Relationship Id="rId10" Type="http://schemas.openxmlformats.org/officeDocument/2006/relationships/printerSettings" Target="../printerSettings/printerSettings2.bin"/><Relationship Id="rId4" Type="http://schemas.openxmlformats.org/officeDocument/2006/relationships/hyperlink" Target="https://www.sciencedirect.com/science/article/pii/S2667010021002869" TargetMode="External"/><Relationship Id="rId9" Type="http://schemas.openxmlformats.org/officeDocument/2006/relationships/hyperlink" Target="https://kutv.co.ke/nakuru-county-kew-technology-power-plan-to-turn-giotto-trash-into-go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499984740745262"/>
  </sheetPr>
  <dimension ref="A1:XFD53"/>
  <sheetViews>
    <sheetView showGridLines="0" topLeftCell="A46" zoomScale="80" zoomScaleNormal="80" workbookViewId="0">
      <selection activeCell="E11" sqref="E11"/>
    </sheetView>
  </sheetViews>
  <sheetFormatPr defaultRowHeight="14.5"/>
  <cols>
    <col min="1" max="1" width="5.81640625" style="8" customWidth="1"/>
    <col min="2" max="2" width="27.453125" customWidth="1"/>
    <col min="3" max="3" width="118.26953125" customWidth="1"/>
  </cols>
  <sheetData>
    <row r="1" spans="1:16384" ht="48" customHeight="1">
      <c r="A1" s="10" t="s">
        <v>1187</v>
      </c>
      <c r="B1" s="10"/>
      <c r="C1" s="42"/>
    </row>
    <row r="2" spans="1:16384">
      <c r="A2" s="71" t="s">
        <v>1185</v>
      </c>
      <c r="B2" s="71"/>
      <c r="C2" s="71"/>
    </row>
    <row r="3" spans="1:16384">
      <c r="A3" s="71" t="s">
        <v>0</v>
      </c>
      <c r="B3" s="71"/>
      <c r="C3" s="71"/>
    </row>
    <row r="4" spans="1:16384">
      <c r="A4" s="71" t="s">
        <v>854</v>
      </c>
      <c r="B4" s="71"/>
      <c r="C4" s="71"/>
    </row>
    <row r="5" spans="1:16384">
      <c r="A5" s="71" t="s">
        <v>855</v>
      </c>
      <c r="B5" s="71"/>
      <c r="C5" s="71"/>
    </row>
    <row r="6" spans="1:16384" ht="47.15" customHeight="1">
      <c r="A6" s="71" t="s">
        <v>1</v>
      </c>
      <c r="B6" s="71"/>
      <c r="C6" s="71"/>
    </row>
    <row r="7" spans="1:16384" customFormat="1">
      <c r="A7" s="71" t="s">
        <v>1154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1"/>
      <c r="CX7" s="71"/>
      <c r="CY7" s="71"/>
      <c r="CZ7" s="71"/>
      <c r="DA7" s="71"/>
      <c r="DB7" s="71"/>
      <c r="DC7" s="71"/>
      <c r="DD7" s="71"/>
      <c r="DE7" s="71"/>
      <c r="DF7" s="71"/>
      <c r="DG7" s="71"/>
      <c r="DH7" s="71"/>
      <c r="DI7" s="71"/>
      <c r="DJ7" s="71"/>
      <c r="DK7" s="71"/>
      <c r="DL7" s="71"/>
      <c r="DM7" s="71"/>
      <c r="DN7" s="71"/>
      <c r="DO7" s="71"/>
      <c r="DP7" s="71"/>
      <c r="DQ7" s="71"/>
      <c r="DR7" s="71"/>
      <c r="DS7" s="71"/>
      <c r="DT7" s="71"/>
      <c r="DU7" s="71"/>
      <c r="DV7" s="71"/>
      <c r="DW7" s="71"/>
      <c r="DX7" s="71"/>
      <c r="DY7" s="71"/>
      <c r="DZ7" s="71"/>
      <c r="EA7" s="71"/>
      <c r="EB7" s="71"/>
      <c r="EC7" s="71"/>
      <c r="ED7" s="71"/>
      <c r="EE7" s="71"/>
      <c r="EF7" s="71"/>
      <c r="EG7" s="71"/>
      <c r="EH7" s="71"/>
      <c r="EI7" s="71"/>
      <c r="EJ7" s="71"/>
      <c r="EK7" s="71"/>
      <c r="EL7" s="71"/>
      <c r="EM7" s="71"/>
      <c r="EN7" s="71"/>
      <c r="EO7" s="71"/>
      <c r="EP7" s="71"/>
      <c r="EQ7" s="71"/>
      <c r="ER7" s="71"/>
      <c r="ES7" s="71"/>
      <c r="ET7" s="71"/>
      <c r="EU7" s="71"/>
      <c r="EV7" s="71"/>
      <c r="EW7" s="71"/>
      <c r="EX7" s="71"/>
      <c r="EY7" s="71"/>
      <c r="EZ7" s="71"/>
      <c r="FA7" s="71"/>
      <c r="FB7" s="71"/>
      <c r="FC7" s="71"/>
      <c r="FD7" s="71"/>
      <c r="FE7" s="71"/>
      <c r="FF7" s="71"/>
      <c r="FG7" s="71"/>
      <c r="FH7" s="71"/>
      <c r="FI7" s="71"/>
      <c r="FJ7" s="71"/>
      <c r="FK7" s="71"/>
      <c r="FL7" s="71"/>
      <c r="FM7" s="71"/>
      <c r="FN7" s="71"/>
      <c r="FO7" s="71"/>
      <c r="FP7" s="71"/>
      <c r="FQ7" s="71"/>
      <c r="FR7" s="71"/>
      <c r="FS7" s="71"/>
      <c r="FT7" s="71"/>
      <c r="FU7" s="71"/>
      <c r="FV7" s="71"/>
      <c r="FW7" s="71"/>
      <c r="FX7" s="71"/>
      <c r="FY7" s="71"/>
      <c r="FZ7" s="71"/>
      <c r="GA7" s="71"/>
      <c r="GB7" s="71"/>
      <c r="GC7" s="71"/>
      <c r="GD7" s="71"/>
      <c r="GE7" s="71"/>
      <c r="GF7" s="71"/>
      <c r="GG7" s="71"/>
      <c r="GH7" s="71"/>
      <c r="GI7" s="71"/>
      <c r="GJ7" s="71"/>
      <c r="GK7" s="71"/>
      <c r="GL7" s="71"/>
      <c r="GM7" s="71"/>
      <c r="GN7" s="71"/>
      <c r="GO7" s="71"/>
      <c r="GP7" s="71"/>
      <c r="GQ7" s="71"/>
      <c r="GR7" s="71"/>
      <c r="GS7" s="71"/>
      <c r="GT7" s="71"/>
      <c r="GU7" s="71"/>
      <c r="GV7" s="71"/>
      <c r="GW7" s="71"/>
      <c r="GX7" s="71"/>
      <c r="GY7" s="71"/>
      <c r="GZ7" s="71"/>
      <c r="HA7" s="71"/>
      <c r="HB7" s="71"/>
      <c r="HC7" s="71"/>
      <c r="HD7" s="71"/>
      <c r="HE7" s="71"/>
      <c r="HF7" s="71"/>
      <c r="HG7" s="71"/>
      <c r="HH7" s="71"/>
      <c r="HI7" s="71"/>
      <c r="HJ7" s="71"/>
      <c r="HK7" s="71"/>
      <c r="HL7" s="71"/>
      <c r="HM7" s="71"/>
      <c r="HN7" s="71"/>
      <c r="HO7" s="71"/>
      <c r="HP7" s="71"/>
      <c r="HQ7" s="71"/>
      <c r="HR7" s="71"/>
      <c r="HS7" s="71"/>
      <c r="HT7" s="71"/>
      <c r="HU7" s="71"/>
      <c r="HV7" s="71"/>
      <c r="HW7" s="71"/>
      <c r="HX7" s="71"/>
      <c r="HY7" s="71"/>
      <c r="HZ7" s="71"/>
      <c r="IA7" s="71"/>
      <c r="IB7" s="71"/>
      <c r="IC7" s="71"/>
      <c r="ID7" s="71"/>
      <c r="IE7" s="71"/>
      <c r="IF7" s="71"/>
      <c r="IG7" s="71"/>
      <c r="IH7" s="71"/>
      <c r="II7" s="71"/>
      <c r="IJ7" s="71"/>
      <c r="IK7" s="71"/>
      <c r="IL7" s="71"/>
      <c r="IM7" s="71"/>
      <c r="IN7" s="71"/>
      <c r="IO7" s="71"/>
      <c r="IP7" s="71"/>
      <c r="IQ7" s="71"/>
      <c r="IR7" s="71"/>
      <c r="IS7" s="71"/>
      <c r="IT7" s="71"/>
      <c r="IU7" s="71"/>
      <c r="IV7" s="71"/>
      <c r="IW7" s="71"/>
      <c r="IX7" s="71"/>
      <c r="IY7" s="71"/>
      <c r="IZ7" s="71"/>
      <c r="JA7" s="71"/>
      <c r="JB7" s="71"/>
      <c r="JC7" s="71"/>
      <c r="JD7" s="71"/>
      <c r="JE7" s="71"/>
      <c r="JF7" s="71"/>
      <c r="JG7" s="71"/>
      <c r="JH7" s="71"/>
      <c r="JI7" s="71"/>
      <c r="JJ7" s="71"/>
      <c r="JK7" s="71"/>
      <c r="JL7" s="71"/>
      <c r="JM7" s="71"/>
      <c r="JN7" s="71"/>
      <c r="JO7" s="71"/>
      <c r="JP7" s="71"/>
      <c r="JQ7" s="71"/>
      <c r="JR7" s="71"/>
      <c r="JS7" s="71"/>
      <c r="JT7" s="71"/>
      <c r="JU7" s="71"/>
      <c r="JV7" s="71"/>
      <c r="JW7" s="71"/>
      <c r="JX7" s="71"/>
      <c r="JY7" s="71"/>
      <c r="JZ7" s="71"/>
      <c r="KA7" s="71"/>
      <c r="KB7" s="71"/>
      <c r="KC7" s="71"/>
      <c r="KD7" s="71"/>
      <c r="KE7" s="71"/>
      <c r="KF7" s="71"/>
      <c r="KG7" s="71"/>
      <c r="KH7" s="71"/>
      <c r="KI7" s="71"/>
      <c r="KJ7" s="71"/>
      <c r="KK7" s="71"/>
      <c r="KL7" s="71"/>
      <c r="KM7" s="71"/>
      <c r="KN7" s="71"/>
      <c r="KO7" s="71"/>
      <c r="KP7" s="71"/>
      <c r="KQ7" s="71"/>
      <c r="KR7" s="71"/>
      <c r="KS7" s="71"/>
      <c r="KT7" s="71"/>
      <c r="KU7" s="71"/>
      <c r="KV7" s="71"/>
      <c r="KW7" s="71"/>
      <c r="KX7" s="71"/>
      <c r="KY7" s="71"/>
      <c r="KZ7" s="71"/>
      <c r="LA7" s="71"/>
      <c r="LB7" s="71"/>
      <c r="LC7" s="71"/>
      <c r="LD7" s="71"/>
      <c r="LE7" s="71"/>
      <c r="LF7" s="71"/>
      <c r="LG7" s="71"/>
      <c r="LH7" s="71"/>
      <c r="LI7" s="71"/>
      <c r="LJ7" s="71"/>
      <c r="LK7" s="71"/>
      <c r="LL7" s="71"/>
      <c r="LM7" s="71"/>
      <c r="LN7" s="71"/>
      <c r="LO7" s="71"/>
      <c r="LP7" s="71"/>
      <c r="LQ7" s="71"/>
      <c r="LR7" s="71"/>
      <c r="LS7" s="71"/>
      <c r="LT7" s="71"/>
      <c r="LU7" s="71"/>
      <c r="LV7" s="71"/>
      <c r="LW7" s="71"/>
      <c r="LX7" s="71"/>
      <c r="LY7" s="71"/>
      <c r="LZ7" s="71"/>
      <c r="MA7" s="71"/>
      <c r="MB7" s="71"/>
      <c r="MC7" s="71"/>
      <c r="MD7" s="71"/>
      <c r="ME7" s="71"/>
      <c r="MF7" s="71"/>
      <c r="MG7" s="71"/>
      <c r="MH7" s="71"/>
      <c r="MI7" s="71"/>
      <c r="MJ7" s="71"/>
      <c r="MK7" s="71"/>
      <c r="ML7" s="71"/>
      <c r="MM7" s="71"/>
      <c r="MN7" s="71"/>
      <c r="MO7" s="71"/>
      <c r="MP7" s="71"/>
      <c r="MQ7" s="71"/>
      <c r="MR7" s="71"/>
      <c r="MS7" s="71"/>
      <c r="MT7" s="71"/>
      <c r="MU7" s="71"/>
      <c r="MV7" s="71"/>
      <c r="MW7" s="71"/>
      <c r="MX7" s="71"/>
      <c r="MY7" s="71"/>
      <c r="MZ7" s="71"/>
      <c r="NA7" s="71"/>
      <c r="NB7" s="71"/>
      <c r="NC7" s="71"/>
      <c r="ND7" s="71"/>
      <c r="NE7" s="71"/>
      <c r="NF7" s="71"/>
      <c r="NG7" s="71"/>
      <c r="NH7" s="71"/>
      <c r="NI7" s="71"/>
      <c r="NJ7" s="71"/>
      <c r="NK7" s="71"/>
      <c r="NL7" s="71"/>
      <c r="NM7" s="71"/>
      <c r="NN7" s="71"/>
      <c r="NO7" s="71"/>
      <c r="NP7" s="71"/>
      <c r="NQ7" s="71"/>
      <c r="NR7" s="71"/>
      <c r="NS7" s="71"/>
      <c r="NT7" s="71"/>
      <c r="NU7" s="71"/>
      <c r="NV7" s="71"/>
      <c r="NW7" s="71"/>
      <c r="NX7" s="71"/>
      <c r="NY7" s="71"/>
      <c r="NZ7" s="71"/>
      <c r="OA7" s="71"/>
      <c r="OB7" s="71"/>
      <c r="OC7" s="71"/>
      <c r="OD7" s="71"/>
      <c r="OE7" s="71"/>
      <c r="OF7" s="71"/>
      <c r="OG7" s="71"/>
      <c r="OH7" s="71"/>
      <c r="OI7" s="71"/>
      <c r="OJ7" s="71"/>
      <c r="OK7" s="71"/>
      <c r="OL7" s="71"/>
      <c r="OM7" s="71"/>
      <c r="ON7" s="71"/>
      <c r="OO7" s="71"/>
      <c r="OP7" s="71"/>
      <c r="OQ7" s="71"/>
      <c r="OR7" s="71"/>
      <c r="OS7" s="71"/>
      <c r="OT7" s="71"/>
      <c r="OU7" s="71"/>
      <c r="OV7" s="71"/>
      <c r="OW7" s="71"/>
      <c r="OX7" s="71"/>
      <c r="OY7" s="71"/>
      <c r="OZ7" s="71"/>
      <c r="PA7" s="71"/>
      <c r="PB7" s="71"/>
      <c r="PC7" s="71"/>
      <c r="PD7" s="71"/>
      <c r="PE7" s="71"/>
      <c r="PF7" s="71"/>
      <c r="PG7" s="71"/>
      <c r="PH7" s="71"/>
      <c r="PI7" s="71"/>
      <c r="PJ7" s="71"/>
      <c r="PK7" s="71"/>
      <c r="PL7" s="71"/>
      <c r="PM7" s="71"/>
      <c r="PN7" s="71"/>
      <c r="PO7" s="71"/>
      <c r="PP7" s="71"/>
      <c r="PQ7" s="71"/>
      <c r="PR7" s="71"/>
      <c r="PS7" s="71"/>
      <c r="PT7" s="71"/>
      <c r="PU7" s="71"/>
      <c r="PV7" s="71"/>
      <c r="PW7" s="71"/>
      <c r="PX7" s="71"/>
      <c r="PY7" s="71"/>
      <c r="PZ7" s="71"/>
      <c r="QA7" s="71"/>
      <c r="QB7" s="71"/>
      <c r="QC7" s="71"/>
      <c r="QD7" s="71"/>
      <c r="QE7" s="71"/>
      <c r="QF7" s="71"/>
      <c r="QG7" s="71"/>
      <c r="QH7" s="71"/>
      <c r="QI7" s="71"/>
      <c r="QJ7" s="71"/>
      <c r="QK7" s="71"/>
      <c r="QL7" s="71"/>
      <c r="QM7" s="71"/>
      <c r="QN7" s="71"/>
      <c r="QO7" s="71"/>
      <c r="QP7" s="71"/>
      <c r="QQ7" s="71"/>
      <c r="QR7" s="71"/>
      <c r="QS7" s="71"/>
      <c r="QT7" s="71"/>
      <c r="QU7" s="71"/>
      <c r="QV7" s="71"/>
      <c r="QW7" s="71"/>
      <c r="QX7" s="71"/>
      <c r="QY7" s="71"/>
      <c r="QZ7" s="71"/>
      <c r="RA7" s="71"/>
      <c r="RB7" s="71"/>
      <c r="RC7" s="71"/>
      <c r="RD7" s="71"/>
      <c r="RE7" s="71"/>
      <c r="RF7" s="71"/>
      <c r="RG7" s="71"/>
      <c r="RH7" s="71"/>
      <c r="RI7" s="71"/>
      <c r="RJ7" s="71"/>
      <c r="RK7" s="71"/>
      <c r="RL7" s="71"/>
      <c r="RM7" s="71"/>
      <c r="RN7" s="71"/>
      <c r="RO7" s="71"/>
      <c r="RP7" s="71"/>
      <c r="RQ7" s="71"/>
      <c r="RR7" s="71"/>
      <c r="RS7" s="71"/>
      <c r="RT7" s="71"/>
      <c r="RU7" s="71"/>
      <c r="RV7" s="71"/>
      <c r="RW7" s="71"/>
      <c r="RX7" s="71"/>
      <c r="RY7" s="71"/>
      <c r="RZ7" s="71"/>
      <c r="SA7" s="71"/>
      <c r="SB7" s="71"/>
      <c r="SC7" s="71"/>
      <c r="SD7" s="71"/>
      <c r="SE7" s="71"/>
      <c r="SF7" s="71"/>
      <c r="SG7" s="71"/>
      <c r="SH7" s="71"/>
      <c r="SI7" s="71"/>
      <c r="SJ7" s="71"/>
      <c r="SK7" s="71"/>
      <c r="SL7" s="71"/>
      <c r="SM7" s="71"/>
      <c r="SN7" s="71"/>
      <c r="SO7" s="71"/>
      <c r="SP7" s="71"/>
      <c r="SQ7" s="71"/>
      <c r="SR7" s="71"/>
      <c r="SS7" s="71"/>
      <c r="ST7" s="71"/>
      <c r="SU7" s="71"/>
      <c r="SV7" s="71"/>
      <c r="SW7" s="71"/>
      <c r="SX7" s="71"/>
      <c r="SY7" s="71"/>
      <c r="SZ7" s="71"/>
      <c r="TA7" s="71"/>
      <c r="TB7" s="71"/>
      <c r="TC7" s="71"/>
      <c r="TD7" s="71"/>
      <c r="TE7" s="71"/>
      <c r="TF7" s="71"/>
      <c r="TG7" s="71"/>
      <c r="TH7" s="71"/>
      <c r="TI7" s="71"/>
      <c r="TJ7" s="71"/>
      <c r="TK7" s="71"/>
      <c r="TL7" s="71"/>
      <c r="TM7" s="71"/>
      <c r="TN7" s="71"/>
      <c r="TO7" s="71"/>
      <c r="TP7" s="71"/>
      <c r="TQ7" s="71"/>
      <c r="TR7" s="71"/>
      <c r="TS7" s="71"/>
      <c r="TT7" s="71"/>
      <c r="TU7" s="71"/>
      <c r="TV7" s="71"/>
      <c r="TW7" s="71"/>
      <c r="TX7" s="71"/>
      <c r="TY7" s="71"/>
      <c r="TZ7" s="71"/>
      <c r="UA7" s="71"/>
      <c r="UB7" s="71"/>
      <c r="UC7" s="71"/>
      <c r="UD7" s="71"/>
      <c r="UE7" s="71"/>
      <c r="UF7" s="71"/>
      <c r="UG7" s="71"/>
      <c r="UH7" s="71"/>
      <c r="UI7" s="71"/>
      <c r="UJ7" s="71"/>
      <c r="UK7" s="71"/>
      <c r="UL7" s="71"/>
      <c r="UM7" s="71"/>
      <c r="UN7" s="71"/>
      <c r="UO7" s="71"/>
      <c r="UP7" s="71"/>
      <c r="UQ7" s="71"/>
      <c r="UR7" s="71"/>
      <c r="US7" s="71"/>
      <c r="UT7" s="71"/>
      <c r="UU7" s="71"/>
      <c r="UV7" s="71"/>
      <c r="UW7" s="71"/>
      <c r="UX7" s="71"/>
      <c r="UY7" s="71"/>
      <c r="UZ7" s="71"/>
      <c r="VA7" s="71"/>
      <c r="VB7" s="71"/>
      <c r="VC7" s="71"/>
      <c r="VD7" s="71"/>
      <c r="VE7" s="71"/>
      <c r="VF7" s="71"/>
      <c r="VG7" s="71"/>
      <c r="VH7" s="71"/>
      <c r="VI7" s="71"/>
      <c r="VJ7" s="71"/>
      <c r="VK7" s="71"/>
      <c r="VL7" s="71"/>
      <c r="VM7" s="71"/>
      <c r="VN7" s="71"/>
      <c r="VO7" s="71"/>
      <c r="VP7" s="71"/>
      <c r="VQ7" s="71"/>
      <c r="VR7" s="71"/>
      <c r="VS7" s="71"/>
      <c r="VT7" s="71"/>
      <c r="VU7" s="71"/>
      <c r="VV7" s="71"/>
      <c r="VW7" s="71"/>
      <c r="VX7" s="71"/>
      <c r="VY7" s="71"/>
      <c r="VZ7" s="71"/>
      <c r="WA7" s="71"/>
      <c r="WB7" s="71"/>
      <c r="WC7" s="71"/>
      <c r="WD7" s="71"/>
      <c r="WE7" s="71"/>
      <c r="WF7" s="71"/>
      <c r="WG7" s="71"/>
      <c r="WH7" s="71"/>
      <c r="WI7" s="71"/>
      <c r="WJ7" s="71"/>
      <c r="WK7" s="71"/>
      <c r="WL7" s="71"/>
      <c r="WM7" s="71"/>
      <c r="WN7" s="71"/>
      <c r="WO7" s="71"/>
      <c r="WP7" s="71"/>
      <c r="WQ7" s="71"/>
      <c r="WR7" s="71"/>
      <c r="WS7" s="71"/>
      <c r="WT7" s="71"/>
      <c r="WU7" s="71"/>
      <c r="WV7" s="71"/>
      <c r="WW7" s="71"/>
      <c r="WX7" s="71"/>
      <c r="WY7" s="71"/>
      <c r="WZ7" s="71"/>
      <c r="XA7" s="71"/>
      <c r="XB7" s="71"/>
      <c r="XC7" s="71"/>
      <c r="XD7" s="71"/>
      <c r="XE7" s="71"/>
      <c r="XF7" s="71"/>
      <c r="XG7" s="71"/>
      <c r="XH7" s="71"/>
      <c r="XI7" s="71"/>
      <c r="XJ7" s="71"/>
      <c r="XK7" s="71"/>
      <c r="XL7" s="71"/>
      <c r="XM7" s="71"/>
      <c r="XN7" s="71"/>
      <c r="XO7" s="71"/>
      <c r="XP7" s="71"/>
      <c r="XQ7" s="71"/>
      <c r="XR7" s="71"/>
      <c r="XS7" s="71"/>
      <c r="XT7" s="71"/>
      <c r="XU7" s="71"/>
      <c r="XV7" s="71"/>
      <c r="XW7" s="71"/>
      <c r="XX7" s="71"/>
      <c r="XY7" s="71"/>
      <c r="XZ7" s="71"/>
      <c r="YA7" s="71"/>
      <c r="YB7" s="71"/>
      <c r="YC7" s="71"/>
      <c r="YD7" s="71"/>
      <c r="YE7" s="71"/>
      <c r="YF7" s="71"/>
      <c r="YG7" s="71"/>
      <c r="YH7" s="71"/>
      <c r="YI7" s="71"/>
      <c r="YJ7" s="71"/>
      <c r="YK7" s="71"/>
      <c r="YL7" s="71"/>
      <c r="YM7" s="71"/>
      <c r="YN7" s="71"/>
      <c r="YO7" s="71"/>
      <c r="YP7" s="71"/>
      <c r="YQ7" s="71"/>
      <c r="YR7" s="71"/>
      <c r="YS7" s="71"/>
      <c r="YT7" s="71"/>
      <c r="YU7" s="71"/>
      <c r="YV7" s="71"/>
      <c r="YW7" s="71"/>
      <c r="YX7" s="71"/>
      <c r="YY7" s="71"/>
      <c r="YZ7" s="71"/>
      <c r="ZA7" s="71"/>
      <c r="ZB7" s="71"/>
      <c r="ZC7" s="71"/>
      <c r="ZD7" s="71"/>
      <c r="ZE7" s="71"/>
      <c r="ZF7" s="71"/>
      <c r="ZG7" s="71"/>
      <c r="ZH7" s="71"/>
      <c r="ZI7" s="71"/>
      <c r="ZJ7" s="71"/>
      <c r="ZK7" s="71"/>
      <c r="ZL7" s="71"/>
      <c r="ZM7" s="71"/>
      <c r="ZN7" s="71"/>
      <c r="ZO7" s="71"/>
      <c r="ZP7" s="71"/>
      <c r="ZQ7" s="71"/>
      <c r="ZR7" s="71"/>
      <c r="ZS7" s="71"/>
      <c r="ZT7" s="71"/>
      <c r="ZU7" s="71"/>
      <c r="ZV7" s="71"/>
      <c r="ZW7" s="71"/>
      <c r="ZX7" s="71"/>
      <c r="ZY7" s="71"/>
      <c r="ZZ7" s="71"/>
      <c r="AAA7" s="71"/>
      <c r="AAB7" s="71"/>
      <c r="AAC7" s="71"/>
      <c r="AAD7" s="71"/>
      <c r="AAE7" s="71"/>
      <c r="AAF7" s="71"/>
      <c r="AAG7" s="71"/>
      <c r="AAH7" s="71"/>
      <c r="AAI7" s="71"/>
      <c r="AAJ7" s="71"/>
      <c r="AAK7" s="71"/>
      <c r="AAL7" s="71"/>
      <c r="AAM7" s="71"/>
      <c r="AAN7" s="71"/>
      <c r="AAO7" s="71"/>
      <c r="AAP7" s="71"/>
      <c r="AAQ7" s="71"/>
      <c r="AAR7" s="71"/>
      <c r="AAS7" s="71"/>
      <c r="AAT7" s="71"/>
      <c r="AAU7" s="71"/>
      <c r="AAV7" s="71"/>
      <c r="AAW7" s="71"/>
      <c r="AAX7" s="71"/>
      <c r="AAY7" s="71"/>
      <c r="AAZ7" s="71"/>
      <c r="ABA7" s="71"/>
      <c r="ABB7" s="71"/>
      <c r="ABC7" s="71"/>
      <c r="ABD7" s="71"/>
      <c r="ABE7" s="71"/>
      <c r="ABF7" s="71"/>
      <c r="ABG7" s="71"/>
      <c r="ABH7" s="71"/>
      <c r="ABI7" s="71"/>
      <c r="ABJ7" s="71"/>
      <c r="ABK7" s="71"/>
      <c r="ABL7" s="71"/>
      <c r="ABM7" s="71"/>
      <c r="ABN7" s="71"/>
      <c r="ABO7" s="71"/>
      <c r="ABP7" s="71"/>
      <c r="ABQ7" s="71"/>
      <c r="ABR7" s="71"/>
      <c r="ABS7" s="71"/>
      <c r="ABT7" s="71"/>
      <c r="ABU7" s="71"/>
      <c r="ABV7" s="71"/>
      <c r="ABW7" s="71"/>
      <c r="ABX7" s="71"/>
      <c r="ABY7" s="71"/>
      <c r="ABZ7" s="71"/>
      <c r="ACA7" s="71"/>
      <c r="ACB7" s="71"/>
      <c r="ACC7" s="71"/>
      <c r="ACD7" s="71"/>
      <c r="ACE7" s="71"/>
      <c r="ACF7" s="71"/>
      <c r="ACG7" s="71"/>
      <c r="ACH7" s="71"/>
      <c r="ACI7" s="71"/>
      <c r="ACJ7" s="71"/>
      <c r="ACK7" s="71"/>
      <c r="ACL7" s="71"/>
      <c r="ACM7" s="71"/>
      <c r="ACN7" s="71"/>
      <c r="ACO7" s="71"/>
      <c r="ACP7" s="71"/>
      <c r="ACQ7" s="71"/>
      <c r="ACR7" s="71"/>
      <c r="ACS7" s="71"/>
      <c r="ACT7" s="71"/>
      <c r="ACU7" s="71"/>
      <c r="ACV7" s="71"/>
      <c r="ACW7" s="71"/>
      <c r="ACX7" s="71"/>
      <c r="ACY7" s="71"/>
      <c r="ACZ7" s="71"/>
      <c r="ADA7" s="71"/>
      <c r="ADB7" s="71"/>
      <c r="ADC7" s="71"/>
      <c r="ADD7" s="71"/>
      <c r="ADE7" s="71"/>
      <c r="ADF7" s="71"/>
      <c r="ADG7" s="71"/>
      <c r="ADH7" s="71"/>
      <c r="ADI7" s="71"/>
      <c r="ADJ7" s="71"/>
      <c r="ADK7" s="71"/>
      <c r="ADL7" s="71"/>
      <c r="ADM7" s="71"/>
      <c r="ADN7" s="71"/>
      <c r="ADO7" s="71"/>
      <c r="ADP7" s="71"/>
      <c r="ADQ7" s="71"/>
      <c r="ADR7" s="71"/>
      <c r="ADS7" s="71"/>
      <c r="ADT7" s="71"/>
      <c r="ADU7" s="71"/>
      <c r="ADV7" s="71"/>
      <c r="ADW7" s="71"/>
      <c r="ADX7" s="71"/>
      <c r="ADY7" s="71"/>
      <c r="ADZ7" s="71"/>
      <c r="AEA7" s="71"/>
      <c r="AEB7" s="71"/>
      <c r="AEC7" s="71"/>
      <c r="AED7" s="71"/>
      <c r="AEE7" s="71"/>
      <c r="AEF7" s="71"/>
      <c r="AEG7" s="71"/>
      <c r="AEH7" s="71"/>
      <c r="AEI7" s="71"/>
      <c r="AEJ7" s="71"/>
      <c r="AEK7" s="71"/>
      <c r="AEL7" s="71"/>
      <c r="AEM7" s="71"/>
      <c r="AEN7" s="71"/>
      <c r="AEO7" s="71"/>
      <c r="AEP7" s="71"/>
      <c r="AEQ7" s="71"/>
      <c r="AER7" s="71"/>
      <c r="AES7" s="71"/>
      <c r="AET7" s="71"/>
      <c r="AEU7" s="71"/>
      <c r="AEV7" s="71"/>
      <c r="AEW7" s="71"/>
      <c r="AEX7" s="71"/>
      <c r="AEY7" s="71"/>
      <c r="AEZ7" s="71"/>
      <c r="AFA7" s="71"/>
      <c r="AFB7" s="71"/>
      <c r="AFC7" s="71"/>
      <c r="AFD7" s="71"/>
      <c r="AFE7" s="71"/>
      <c r="AFF7" s="71"/>
      <c r="AFG7" s="71"/>
      <c r="AFH7" s="71"/>
      <c r="AFI7" s="71"/>
      <c r="AFJ7" s="71"/>
      <c r="AFK7" s="71"/>
      <c r="AFL7" s="71"/>
      <c r="AFM7" s="71"/>
      <c r="AFN7" s="71"/>
      <c r="AFO7" s="71"/>
      <c r="AFP7" s="71"/>
      <c r="AFQ7" s="71"/>
      <c r="AFR7" s="71"/>
      <c r="AFS7" s="71"/>
      <c r="AFT7" s="71"/>
      <c r="AFU7" s="71"/>
      <c r="AFV7" s="71"/>
      <c r="AFW7" s="71"/>
      <c r="AFX7" s="71"/>
      <c r="AFY7" s="71"/>
      <c r="AFZ7" s="71"/>
      <c r="AGA7" s="71"/>
      <c r="AGB7" s="71"/>
      <c r="AGC7" s="71"/>
      <c r="AGD7" s="71"/>
      <c r="AGE7" s="71"/>
      <c r="AGF7" s="71"/>
      <c r="AGG7" s="71"/>
      <c r="AGH7" s="71"/>
      <c r="AGI7" s="71"/>
      <c r="AGJ7" s="71"/>
      <c r="AGK7" s="71"/>
      <c r="AGL7" s="71"/>
      <c r="AGM7" s="71"/>
      <c r="AGN7" s="71"/>
      <c r="AGO7" s="71"/>
      <c r="AGP7" s="71"/>
      <c r="AGQ7" s="71"/>
      <c r="AGR7" s="71"/>
      <c r="AGS7" s="71"/>
      <c r="AGT7" s="71"/>
      <c r="AGU7" s="71"/>
      <c r="AGV7" s="71"/>
      <c r="AGW7" s="71"/>
      <c r="AGX7" s="71"/>
      <c r="AGY7" s="71"/>
      <c r="AGZ7" s="71"/>
      <c r="AHA7" s="71"/>
      <c r="AHB7" s="71"/>
      <c r="AHC7" s="71"/>
      <c r="AHD7" s="71"/>
      <c r="AHE7" s="71"/>
      <c r="AHF7" s="71"/>
      <c r="AHG7" s="71"/>
      <c r="AHH7" s="71"/>
      <c r="AHI7" s="71"/>
      <c r="AHJ7" s="71"/>
      <c r="AHK7" s="71"/>
      <c r="AHL7" s="71"/>
      <c r="AHM7" s="71"/>
      <c r="AHN7" s="71"/>
      <c r="AHO7" s="71"/>
      <c r="AHP7" s="71"/>
      <c r="AHQ7" s="71"/>
      <c r="AHR7" s="71"/>
      <c r="AHS7" s="71"/>
      <c r="AHT7" s="71"/>
      <c r="AHU7" s="71"/>
      <c r="AHV7" s="71"/>
      <c r="AHW7" s="71"/>
      <c r="AHX7" s="71"/>
      <c r="AHY7" s="71"/>
      <c r="AHZ7" s="71"/>
      <c r="AIA7" s="71"/>
      <c r="AIB7" s="71"/>
      <c r="AIC7" s="71"/>
      <c r="AID7" s="71"/>
      <c r="AIE7" s="71"/>
      <c r="AIF7" s="71"/>
      <c r="AIG7" s="71"/>
      <c r="AIH7" s="71"/>
      <c r="AII7" s="71"/>
      <c r="AIJ7" s="71"/>
      <c r="AIK7" s="71"/>
      <c r="AIL7" s="71"/>
      <c r="AIM7" s="71"/>
      <c r="AIN7" s="71"/>
      <c r="AIO7" s="71"/>
      <c r="AIP7" s="71"/>
      <c r="AIQ7" s="71"/>
      <c r="AIR7" s="71"/>
      <c r="AIS7" s="71"/>
      <c r="AIT7" s="71"/>
      <c r="AIU7" s="71"/>
      <c r="AIV7" s="71"/>
      <c r="AIW7" s="71"/>
      <c r="AIX7" s="71"/>
      <c r="AIY7" s="71"/>
      <c r="AIZ7" s="71"/>
      <c r="AJA7" s="71"/>
      <c r="AJB7" s="71"/>
      <c r="AJC7" s="71"/>
      <c r="AJD7" s="71"/>
      <c r="AJE7" s="71"/>
      <c r="AJF7" s="71"/>
      <c r="AJG7" s="71"/>
      <c r="AJH7" s="71"/>
      <c r="AJI7" s="71"/>
      <c r="AJJ7" s="71"/>
      <c r="AJK7" s="71"/>
      <c r="AJL7" s="71"/>
      <c r="AJM7" s="71"/>
      <c r="AJN7" s="71"/>
      <c r="AJO7" s="71"/>
      <c r="AJP7" s="71"/>
      <c r="AJQ7" s="71"/>
      <c r="AJR7" s="71"/>
      <c r="AJS7" s="71"/>
      <c r="AJT7" s="71"/>
      <c r="AJU7" s="71"/>
      <c r="AJV7" s="71"/>
      <c r="AJW7" s="71"/>
      <c r="AJX7" s="71"/>
      <c r="AJY7" s="71"/>
      <c r="AJZ7" s="71"/>
      <c r="AKA7" s="71"/>
      <c r="AKB7" s="71"/>
      <c r="AKC7" s="71"/>
      <c r="AKD7" s="71"/>
      <c r="AKE7" s="71"/>
      <c r="AKF7" s="71"/>
      <c r="AKG7" s="71"/>
      <c r="AKH7" s="71"/>
      <c r="AKI7" s="71"/>
      <c r="AKJ7" s="71"/>
      <c r="AKK7" s="71"/>
      <c r="AKL7" s="71"/>
      <c r="AKM7" s="71"/>
      <c r="AKN7" s="71"/>
      <c r="AKO7" s="71"/>
      <c r="AKP7" s="71"/>
      <c r="AKQ7" s="71"/>
      <c r="AKR7" s="71"/>
      <c r="AKS7" s="71"/>
      <c r="AKT7" s="71"/>
      <c r="AKU7" s="71"/>
      <c r="AKV7" s="71"/>
      <c r="AKW7" s="71"/>
      <c r="AKX7" s="71"/>
      <c r="AKY7" s="71"/>
      <c r="AKZ7" s="71"/>
      <c r="ALA7" s="71"/>
      <c r="ALB7" s="71"/>
      <c r="ALC7" s="71"/>
      <c r="ALD7" s="71"/>
      <c r="ALE7" s="71"/>
      <c r="ALF7" s="71"/>
      <c r="ALG7" s="71"/>
      <c r="ALH7" s="71"/>
      <c r="ALI7" s="71"/>
      <c r="ALJ7" s="71"/>
      <c r="ALK7" s="71"/>
      <c r="ALL7" s="71"/>
      <c r="ALM7" s="71"/>
      <c r="ALN7" s="71"/>
      <c r="ALO7" s="71"/>
      <c r="ALP7" s="71"/>
      <c r="ALQ7" s="71"/>
      <c r="ALR7" s="71"/>
      <c r="ALS7" s="71"/>
      <c r="ALT7" s="71"/>
      <c r="ALU7" s="71"/>
      <c r="ALV7" s="71"/>
      <c r="ALW7" s="71"/>
      <c r="ALX7" s="71"/>
      <c r="ALY7" s="71"/>
      <c r="ALZ7" s="71"/>
      <c r="AMA7" s="71"/>
      <c r="AMB7" s="71"/>
      <c r="AMC7" s="71"/>
      <c r="AMD7" s="71"/>
      <c r="AME7" s="71"/>
      <c r="AMF7" s="71"/>
      <c r="AMG7" s="71"/>
      <c r="AMH7" s="71"/>
      <c r="AMI7" s="71"/>
      <c r="AMJ7" s="71"/>
      <c r="AMK7" s="71"/>
      <c r="AML7" s="71"/>
      <c r="AMM7" s="71"/>
      <c r="AMN7" s="71"/>
      <c r="AMO7" s="71"/>
      <c r="AMP7" s="71"/>
      <c r="AMQ7" s="71"/>
      <c r="AMR7" s="71"/>
      <c r="AMS7" s="71"/>
      <c r="AMT7" s="71"/>
      <c r="AMU7" s="71"/>
      <c r="AMV7" s="71"/>
      <c r="AMW7" s="71"/>
      <c r="AMX7" s="71"/>
      <c r="AMY7" s="71"/>
      <c r="AMZ7" s="71"/>
      <c r="ANA7" s="71"/>
      <c r="ANB7" s="71"/>
      <c r="ANC7" s="71"/>
      <c r="AND7" s="71"/>
      <c r="ANE7" s="71"/>
      <c r="ANF7" s="71"/>
      <c r="ANG7" s="71"/>
      <c r="ANH7" s="71"/>
      <c r="ANI7" s="71"/>
      <c r="ANJ7" s="71"/>
      <c r="ANK7" s="71"/>
      <c r="ANL7" s="71"/>
      <c r="ANM7" s="71"/>
      <c r="ANN7" s="71"/>
      <c r="ANO7" s="71"/>
      <c r="ANP7" s="71"/>
      <c r="ANQ7" s="71"/>
      <c r="ANR7" s="71"/>
      <c r="ANS7" s="71"/>
      <c r="ANT7" s="71"/>
      <c r="ANU7" s="71"/>
      <c r="ANV7" s="71"/>
      <c r="ANW7" s="71"/>
      <c r="ANX7" s="71"/>
      <c r="ANY7" s="71"/>
      <c r="ANZ7" s="71"/>
      <c r="AOA7" s="71"/>
      <c r="AOB7" s="71"/>
      <c r="AOC7" s="71"/>
      <c r="AOD7" s="71"/>
      <c r="AOE7" s="71"/>
      <c r="AOF7" s="71"/>
      <c r="AOG7" s="71"/>
      <c r="AOH7" s="71"/>
      <c r="AOI7" s="71"/>
      <c r="AOJ7" s="71"/>
      <c r="AOK7" s="71"/>
      <c r="AOL7" s="71"/>
      <c r="AOM7" s="71"/>
      <c r="AON7" s="71"/>
      <c r="AOO7" s="71"/>
      <c r="AOP7" s="71"/>
      <c r="AOQ7" s="71"/>
      <c r="AOR7" s="71"/>
      <c r="AOS7" s="71"/>
      <c r="AOT7" s="71"/>
      <c r="AOU7" s="71"/>
      <c r="AOV7" s="71"/>
      <c r="AOW7" s="71"/>
      <c r="AOX7" s="71"/>
      <c r="AOY7" s="71"/>
      <c r="AOZ7" s="71"/>
      <c r="APA7" s="71"/>
      <c r="APB7" s="71"/>
      <c r="APC7" s="71"/>
      <c r="APD7" s="71"/>
      <c r="APE7" s="71"/>
      <c r="APF7" s="71"/>
      <c r="APG7" s="71"/>
      <c r="APH7" s="71"/>
      <c r="API7" s="71"/>
      <c r="APJ7" s="71"/>
      <c r="APK7" s="71"/>
      <c r="APL7" s="71"/>
      <c r="APM7" s="71"/>
      <c r="APN7" s="71"/>
      <c r="APO7" s="71"/>
      <c r="APP7" s="71"/>
      <c r="APQ7" s="71"/>
      <c r="APR7" s="71"/>
      <c r="APS7" s="71"/>
      <c r="APT7" s="71"/>
      <c r="APU7" s="71"/>
      <c r="APV7" s="71"/>
      <c r="APW7" s="71"/>
      <c r="APX7" s="71"/>
      <c r="APY7" s="71"/>
      <c r="APZ7" s="71"/>
      <c r="AQA7" s="71"/>
      <c r="AQB7" s="71"/>
      <c r="AQC7" s="71"/>
      <c r="AQD7" s="71"/>
      <c r="AQE7" s="71"/>
      <c r="AQF7" s="71"/>
      <c r="AQG7" s="71"/>
      <c r="AQH7" s="71"/>
      <c r="AQI7" s="71"/>
      <c r="AQJ7" s="71"/>
      <c r="AQK7" s="71"/>
      <c r="AQL7" s="71"/>
      <c r="AQM7" s="71"/>
      <c r="AQN7" s="71"/>
      <c r="AQO7" s="71"/>
      <c r="AQP7" s="71"/>
      <c r="AQQ7" s="71"/>
      <c r="AQR7" s="71"/>
      <c r="AQS7" s="71"/>
      <c r="AQT7" s="71"/>
      <c r="AQU7" s="71"/>
      <c r="AQV7" s="71"/>
      <c r="AQW7" s="71"/>
      <c r="AQX7" s="71"/>
      <c r="AQY7" s="71"/>
      <c r="AQZ7" s="71"/>
      <c r="ARA7" s="71"/>
      <c r="ARB7" s="71"/>
      <c r="ARC7" s="71"/>
      <c r="ARD7" s="71"/>
      <c r="ARE7" s="71"/>
      <c r="ARF7" s="71"/>
      <c r="ARG7" s="71"/>
      <c r="ARH7" s="71"/>
      <c r="ARI7" s="71"/>
      <c r="ARJ7" s="71"/>
      <c r="ARK7" s="71"/>
      <c r="ARL7" s="71"/>
      <c r="ARM7" s="71"/>
      <c r="ARN7" s="71"/>
      <c r="ARO7" s="71"/>
      <c r="ARP7" s="71"/>
      <c r="ARQ7" s="71"/>
      <c r="ARR7" s="71"/>
      <c r="ARS7" s="71"/>
      <c r="ART7" s="71"/>
      <c r="ARU7" s="71"/>
      <c r="ARV7" s="71"/>
      <c r="ARW7" s="71"/>
      <c r="ARX7" s="71"/>
      <c r="ARY7" s="71"/>
      <c r="ARZ7" s="71"/>
      <c r="ASA7" s="71"/>
      <c r="ASB7" s="71"/>
      <c r="ASC7" s="71"/>
      <c r="ASD7" s="71"/>
      <c r="ASE7" s="71"/>
      <c r="ASF7" s="71"/>
      <c r="ASG7" s="71"/>
      <c r="ASH7" s="71"/>
      <c r="ASI7" s="71"/>
      <c r="ASJ7" s="71"/>
      <c r="ASK7" s="71"/>
      <c r="ASL7" s="71"/>
      <c r="ASM7" s="71"/>
      <c r="ASN7" s="71"/>
      <c r="ASO7" s="71"/>
      <c r="ASP7" s="71"/>
      <c r="ASQ7" s="71"/>
      <c r="ASR7" s="71"/>
      <c r="ASS7" s="71"/>
      <c r="AST7" s="71"/>
      <c r="ASU7" s="71"/>
      <c r="ASV7" s="71"/>
      <c r="ASW7" s="71"/>
      <c r="ASX7" s="71"/>
      <c r="ASY7" s="71"/>
      <c r="ASZ7" s="71"/>
      <c r="ATA7" s="71"/>
      <c r="ATB7" s="71"/>
      <c r="ATC7" s="71"/>
      <c r="ATD7" s="71"/>
      <c r="ATE7" s="71"/>
      <c r="ATF7" s="71"/>
      <c r="ATG7" s="71"/>
      <c r="ATH7" s="71"/>
      <c r="ATI7" s="71"/>
      <c r="ATJ7" s="71"/>
      <c r="ATK7" s="71"/>
      <c r="ATL7" s="71"/>
      <c r="ATM7" s="71"/>
      <c r="ATN7" s="71"/>
      <c r="ATO7" s="71"/>
      <c r="ATP7" s="71"/>
      <c r="ATQ7" s="71"/>
      <c r="ATR7" s="71"/>
      <c r="ATS7" s="71"/>
      <c r="ATT7" s="71"/>
      <c r="ATU7" s="71"/>
      <c r="ATV7" s="71"/>
      <c r="ATW7" s="71"/>
      <c r="ATX7" s="71"/>
      <c r="ATY7" s="71"/>
      <c r="ATZ7" s="71"/>
      <c r="AUA7" s="71"/>
      <c r="AUB7" s="71"/>
      <c r="AUC7" s="71"/>
      <c r="AUD7" s="71"/>
      <c r="AUE7" s="71"/>
      <c r="AUF7" s="71"/>
      <c r="AUG7" s="71"/>
      <c r="AUH7" s="71"/>
      <c r="AUI7" s="71"/>
      <c r="AUJ7" s="71"/>
      <c r="AUK7" s="71"/>
      <c r="AUL7" s="71"/>
      <c r="AUM7" s="71"/>
      <c r="AUN7" s="71"/>
      <c r="AUO7" s="71"/>
      <c r="AUP7" s="71"/>
      <c r="AUQ7" s="71"/>
      <c r="AUR7" s="71"/>
      <c r="AUS7" s="71"/>
      <c r="AUT7" s="71"/>
      <c r="AUU7" s="71"/>
      <c r="AUV7" s="71"/>
      <c r="AUW7" s="71"/>
      <c r="AUX7" s="71"/>
      <c r="AUY7" s="71"/>
      <c r="AUZ7" s="71"/>
      <c r="AVA7" s="71"/>
      <c r="AVB7" s="71"/>
      <c r="AVC7" s="71"/>
      <c r="AVD7" s="71"/>
      <c r="AVE7" s="71"/>
      <c r="AVF7" s="71"/>
      <c r="AVG7" s="71"/>
      <c r="AVH7" s="71"/>
      <c r="AVI7" s="71"/>
      <c r="AVJ7" s="71"/>
      <c r="AVK7" s="71"/>
      <c r="AVL7" s="71"/>
      <c r="AVM7" s="71"/>
      <c r="AVN7" s="71"/>
      <c r="AVO7" s="71"/>
      <c r="AVP7" s="71"/>
      <c r="AVQ7" s="71"/>
      <c r="AVR7" s="71"/>
      <c r="AVS7" s="71"/>
      <c r="AVT7" s="71"/>
      <c r="AVU7" s="71"/>
      <c r="AVV7" s="71"/>
      <c r="AVW7" s="71"/>
      <c r="AVX7" s="71"/>
      <c r="AVY7" s="71"/>
      <c r="AVZ7" s="71"/>
      <c r="AWA7" s="71"/>
      <c r="AWB7" s="71"/>
      <c r="AWC7" s="71"/>
      <c r="AWD7" s="71"/>
      <c r="AWE7" s="71"/>
      <c r="AWF7" s="71"/>
      <c r="AWG7" s="71"/>
      <c r="AWH7" s="71"/>
      <c r="AWI7" s="71"/>
      <c r="AWJ7" s="71"/>
      <c r="AWK7" s="71"/>
      <c r="AWL7" s="71"/>
      <c r="AWM7" s="71"/>
      <c r="AWN7" s="71"/>
      <c r="AWO7" s="71"/>
      <c r="AWP7" s="71"/>
      <c r="AWQ7" s="71"/>
      <c r="AWR7" s="71"/>
      <c r="AWS7" s="71"/>
      <c r="AWT7" s="71"/>
      <c r="AWU7" s="71"/>
      <c r="AWV7" s="71"/>
      <c r="AWW7" s="71"/>
      <c r="AWX7" s="71"/>
      <c r="AWY7" s="71"/>
      <c r="AWZ7" s="71"/>
      <c r="AXA7" s="71"/>
      <c r="AXB7" s="71"/>
      <c r="AXC7" s="71"/>
      <c r="AXD7" s="71"/>
      <c r="AXE7" s="71"/>
      <c r="AXF7" s="71"/>
      <c r="AXG7" s="71"/>
      <c r="AXH7" s="71"/>
      <c r="AXI7" s="71"/>
      <c r="AXJ7" s="71"/>
      <c r="AXK7" s="71"/>
      <c r="AXL7" s="71"/>
      <c r="AXM7" s="71"/>
      <c r="AXN7" s="71"/>
      <c r="AXO7" s="71"/>
      <c r="AXP7" s="71"/>
      <c r="AXQ7" s="71"/>
      <c r="AXR7" s="71"/>
      <c r="AXS7" s="71"/>
      <c r="AXT7" s="71"/>
      <c r="AXU7" s="71"/>
      <c r="AXV7" s="71"/>
      <c r="AXW7" s="71"/>
      <c r="AXX7" s="71"/>
      <c r="AXY7" s="71"/>
      <c r="AXZ7" s="71"/>
      <c r="AYA7" s="71"/>
      <c r="AYB7" s="71"/>
      <c r="AYC7" s="71"/>
      <c r="AYD7" s="71"/>
      <c r="AYE7" s="71"/>
      <c r="AYF7" s="71"/>
      <c r="AYG7" s="71"/>
      <c r="AYH7" s="71"/>
      <c r="AYI7" s="71"/>
      <c r="AYJ7" s="71"/>
      <c r="AYK7" s="71"/>
      <c r="AYL7" s="71"/>
      <c r="AYM7" s="71"/>
      <c r="AYN7" s="71"/>
      <c r="AYO7" s="71"/>
      <c r="AYP7" s="71"/>
      <c r="AYQ7" s="71"/>
      <c r="AYR7" s="71"/>
      <c r="AYS7" s="71"/>
      <c r="AYT7" s="71"/>
      <c r="AYU7" s="71"/>
      <c r="AYV7" s="71"/>
      <c r="AYW7" s="71"/>
      <c r="AYX7" s="71"/>
      <c r="AYY7" s="71"/>
      <c r="AYZ7" s="71"/>
      <c r="AZA7" s="71"/>
      <c r="AZB7" s="71"/>
      <c r="AZC7" s="71"/>
      <c r="AZD7" s="71"/>
      <c r="AZE7" s="71"/>
      <c r="AZF7" s="71"/>
      <c r="AZG7" s="71"/>
      <c r="AZH7" s="71"/>
      <c r="AZI7" s="71"/>
      <c r="AZJ7" s="71"/>
      <c r="AZK7" s="71"/>
      <c r="AZL7" s="71"/>
      <c r="AZM7" s="71"/>
      <c r="AZN7" s="71"/>
      <c r="AZO7" s="71"/>
      <c r="AZP7" s="71"/>
      <c r="AZQ7" s="71"/>
      <c r="AZR7" s="71"/>
      <c r="AZS7" s="71"/>
      <c r="AZT7" s="71"/>
      <c r="AZU7" s="71"/>
      <c r="AZV7" s="71"/>
      <c r="AZW7" s="71"/>
      <c r="AZX7" s="71"/>
      <c r="AZY7" s="71"/>
      <c r="AZZ7" s="71"/>
      <c r="BAA7" s="71"/>
      <c r="BAB7" s="71"/>
      <c r="BAC7" s="71"/>
      <c r="BAD7" s="71"/>
      <c r="BAE7" s="71"/>
      <c r="BAF7" s="71"/>
      <c r="BAG7" s="71"/>
      <c r="BAH7" s="71"/>
      <c r="BAI7" s="71"/>
      <c r="BAJ7" s="71"/>
      <c r="BAK7" s="71"/>
      <c r="BAL7" s="71"/>
      <c r="BAM7" s="71"/>
      <c r="BAN7" s="71"/>
      <c r="BAO7" s="71"/>
      <c r="BAP7" s="71"/>
      <c r="BAQ7" s="71"/>
      <c r="BAR7" s="71"/>
      <c r="BAS7" s="71"/>
      <c r="BAT7" s="71"/>
      <c r="BAU7" s="71"/>
      <c r="BAV7" s="71"/>
      <c r="BAW7" s="71"/>
      <c r="BAX7" s="71"/>
      <c r="BAY7" s="71"/>
      <c r="BAZ7" s="71"/>
      <c r="BBA7" s="71"/>
      <c r="BBB7" s="71"/>
      <c r="BBC7" s="71"/>
      <c r="BBD7" s="71"/>
      <c r="BBE7" s="71"/>
      <c r="BBF7" s="71"/>
      <c r="BBG7" s="71"/>
      <c r="BBH7" s="71"/>
      <c r="BBI7" s="71"/>
      <c r="BBJ7" s="71"/>
      <c r="BBK7" s="71"/>
      <c r="BBL7" s="71"/>
      <c r="BBM7" s="71"/>
      <c r="BBN7" s="71"/>
      <c r="BBO7" s="71"/>
      <c r="BBP7" s="71"/>
      <c r="BBQ7" s="71"/>
      <c r="BBR7" s="71"/>
      <c r="BBS7" s="71"/>
      <c r="BBT7" s="71"/>
      <c r="BBU7" s="71"/>
      <c r="BBV7" s="71"/>
      <c r="BBW7" s="71"/>
      <c r="BBX7" s="71"/>
      <c r="BBY7" s="71"/>
      <c r="BBZ7" s="71"/>
      <c r="BCA7" s="71"/>
      <c r="BCB7" s="71"/>
      <c r="BCC7" s="71"/>
      <c r="BCD7" s="71"/>
      <c r="BCE7" s="71"/>
      <c r="BCF7" s="71"/>
      <c r="BCG7" s="71"/>
      <c r="BCH7" s="71"/>
      <c r="BCI7" s="71"/>
      <c r="BCJ7" s="71"/>
      <c r="BCK7" s="71"/>
      <c r="BCL7" s="71"/>
      <c r="BCM7" s="71"/>
      <c r="BCN7" s="71"/>
      <c r="BCO7" s="71"/>
      <c r="BCP7" s="71"/>
      <c r="BCQ7" s="71"/>
      <c r="BCR7" s="71"/>
      <c r="BCS7" s="71"/>
      <c r="BCT7" s="71"/>
      <c r="BCU7" s="71"/>
      <c r="BCV7" s="71"/>
      <c r="BCW7" s="71"/>
      <c r="BCX7" s="71"/>
      <c r="BCY7" s="71"/>
      <c r="BCZ7" s="71"/>
      <c r="BDA7" s="71"/>
      <c r="BDB7" s="71"/>
      <c r="BDC7" s="71"/>
      <c r="BDD7" s="71"/>
      <c r="BDE7" s="71"/>
      <c r="BDF7" s="71"/>
      <c r="BDG7" s="71"/>
      <c r="BDH7" s="71"/>
      <c r="BDI7" s="71"/>
      <c r="BDJ7" s="71"/>
      <c r="BDK7" s="71"/>
      <c r="BDL7" s="71"/>
      <c r="BDM7" s="71"/>
      <c r="BDN7" s="71"/>
      <c r="BDO7" s="71"/>
      <c r="BDP7" s="71"/>
      <c r="BDQ7" s="71"/>
      <c r="BDR7" s="71"/>
      <c r="BDS7" s="71"/>
      <c r="BDT7" s="71"/>
      <c r="BDU7" s="71"/>
      <c r="BDV7" s="71"/>
      <c r="BDW7" s="71"/>
      <c r="BDX7" s="71"/>
      <c r="BDY7" s="71"/>
      <c r="BDZ7" s="71"/>
      <c r="BEA7" s="71"/>
      <c r="BEB7" s="71"/>
      <c r="BEC7" s="71"/>
      <c r="BED7" s="71"/>
      <c r="BEE7" s="71"/>
      <c r="BEF7" s="71"/>
      <c r="BEG7" s="71"/>
      <c r="BEH7" s="71"/>
      <c r="BEI7" s="71"/>
      <c r="BEJ7" s="71"/>
      <c r="BEK7" s="71"/>
      <c r="BEL7" s="71"/>
      <c r="BEM7" s="71"/>
      <c r="BEN7" s="71"/>
      <c r="BEO7" s="71"/>
      <c r="BEP7" s="71"/>
      <c r="BEQ7" s="71"/>
      <c r="BER7" s="71"/>
      <c r="BES7" s="71"/>
      <c r="BET7" s="71"/>
      <c r="BEU7" s="71"/>
      <c r="BEV7" s="71"/>
      <c r="BEW7" s="71"/>
      <c r="BEX7" s="71"/>
      <c r="BEY7" s="71"/>
      <c r="BEZ7" s="71"/>
      <c r="BFA7" s="71"/>
      <c r="BFB7" s="71"/>
      <c r="BFC7" s="71"/>
      <c r="BFD7" s="71"/>
      <c r="BFE7" s="71"/>
      <c r="BFF7" s="71"/>
      <c r="BFG7" s="71"/>
      <c r="BFH7" s="71"/>
      <c r="BFI7" s="71"/>
      <c r="BFJ7" s="71"/>
      <c r="BFK7" s="71"/>
      <c r="BFL7" s="71"/>
      <c r="BFM7" s="71"/>
      <c r="BFN7" s="71"/>
      <c r="BFO7" s="71"/>
      <c r="BFP7" s="71"/>
      <c r="BFQ7" s="71"/>
      <c r="BFR7" s="71"/>
      <c r="BFS7" s="71"/>
      <c r="BFT7" s="71"/>
      <c r="BFU7" s="71"/>
      <c r="BFV7" s="71"/>
      <c r="BFW7" s="71"/>
      <c r="BFX7" s="71"/>
      <c r="BFY7" s="71"/>
      <c r="BFZ7" s="71"/>
      <c r="BGA7" s="71"/>
      <c r="BGB7" s="71"/>
      <c r="BGC7" s="71"/>
      <c r="BGD7" s="71"/>
      <c r="BGE7" s="71"/>
      <c r="BGF7" s="71"/>
      <c r="BGG7" s="71"/>
      <c r="BGH7" s="71"/>
      <c r="BGI7" s="71"/>
      <c r="BGJ7" s="71"/>
      <c r="BGK7" s="71"/>
      <c r="BGL7" s="71"/>
      <c r="BGM7" s="71"/>
      <c r="BGN7" s="71"/>
      <c r="BGO7" s="71"/>
      <c r="BGP7" s="71"/>
      <c r="BGQ7" s="71"/>
      <c r="BGR7" s="71"/>
      <c r="BGS7" s="71"/>
      <c r="BGT7" s="71"/>
      <c r="BGU7" s="71"/>
      <c r="BGV7" s="71"/>
      <c r="BGW7" s="71"/>
      <c r="BGX7" s="71"/>
      <c r="BGY7" s="71"/>
      <c r="BGZ7" s="71"/>
      <c r="BHA7" s="71"/>
      <c r="BHB7" s="71"/>
      <c r="BHC7" s="71"/>
      <c r="BHD7" s="71"/>
      <c r="BHE7" s="71"/>
      <c r="BHF7" s="71"/>
      <c r="BHG7" s="71"/>
      <c r="BHH7" s="71"/>
      <c r="BHI7" s="71"/>
      <c r="BHJ7" s="71"/>
      <c r="BHK7" s="71"/>
      <c r="BHL7" s="71"/>
      <c r="BHM7" s="71"/>
      <c r="BHN7" s="71"/>
      <c r="BHO7" s="71"/>
      <c r="BHP7" s="71"/>
      <c r="BHQ7" s="71"/>
      <c r="BHR7" s="71"/>
      <c r="BHS7" s="71"/>
      <c r="BHT7" s="71"/>
      <c r="BHU7" s="71"/>
      <c r="BHV7" s="71"/>
      <c r="BHW7" s="71"/>
      <c r="BHX7" s="71"/>
      <c r="BHY7" s="71"/>
      <c r="BHZ7" s="71"/>
      <c r="BIA7" s="71"/>
      <c r="BIB7" s="71"/>
      <c r="BIC7" s="71"/>
      <c r="BID7" s="71"/>
      <c r="BIE7" s="71"/>
      <c r="BIF7" s="71"/>
      <c r="BIG7" s="71"/>
      <c r="BIH7" s="71"/>
      <c r="BII7" s="71"/>
      <c r="BIJ7" s="71"/>
      <c r="BIK7" s="71"/>
      <c r="BIL7" s="71"/>
      <c r="BIM7" s="71"/>
      <c r="BIN7" s="71"/>
      <c r="BIO7" s="71"/>
      <c r="BIP7" s="71"/>
      <c r="BIQ7" s="71"/>
      <c r="BIR7" s="71"/>
      <c r="BIS7" s="71"/>
      <c r="BIT7" s="71"/>
      <c r="BIU7" s="71"/>
      <c r="BIV7" s="71"/>
      <c r="BIW7" s="71"/>
      <c r="BIX7" s="71"/>
      <c r="BIY7" s="71"/>
      <c r="BIZ7" s="71"/>
      <c r="BJA7" s="71"/>
      <c r="BJB7" s="71"/>
      <c r="BJC7" s="71"/>
      <c r="BJD7" s="71"/>
      <c r="BJE7" s="71"/>
      <c r="BJF7" s="71"/>
      <c r="BJG7" s="71"/>
      <c r="BJH7" s="71"/>
      <c r="BJI7" s="71"/>
      <c r="BJJ7" s="71"/>
      <c r="BJK7" s="71"/>
      <c r="BJL7" s="71"/>
      <c r="BJM7" s="71"/>
      <c r="BJN7" s="71"/>
      <c r="BJO7" s="71"/>
      <c r="BJP7" s="71"/>
      <c r="BJQ7" s="71"/>
      <c r="BJR7" s="71"/>
      <c r="BJS7" s="71"/>
      <c r="BJT7" s="71"/>
      <c r="BJU7" s="71"/>
      <c r="BJV7" s="71"/>
      <c r="BJW7" s="71"/>
      <c r="BJX7" s="71"/>
      <c r="BJY7" s="71"/>
      <c r="BJZ7" s="71"/>
      <c r="BKA7" s="71"/>
      <c r="BKB7" s="71"/>
      <c r="BKC7" s="71"/>
      <c r="BKD7" s="71"/>
      <c r="BKE7" s="71"/>
      <c r="BKF7" s="71"/>
      <c r="BKG7" s="71"/>
      <c r="BKH7" s="71"/>
      <c r="BKI7" s="71"/>
      <c r="BKJ7" s="71"/>
      <c r="BKK7" s="71"/>
      <c r="BKL7" s="71"/>
      <c r="BKM7" s="71"/>
      <c r="BKN7" s="71"/>
      <c r="BKO7" s="71"/>
      <c r="BKP7" s="71"/>
      <c r="BKQ7" s="71"/>
      <c r="BKR7" s="71"/>
      <c r="BKS7" s="71"/>
      <c r="BKT7" s="71"/>
      <c r="BKU7" s="71"/>
      <c r="BKV7" s="71"/>
      <c r="BKW7" s="71"/>
      <c r="BKX7" s="71"/>
      <c r="BKY7" s="71"/>
      <c r="BKZ7" s="71"/>
      <c r="BLA7" s="71"/>
      <c r="BLB7" s="71"/>
      <c r="BLC7" s="71"/>
      <c r="BLD7" s="71"/>
      <c r="BLE7" s="71"/>
      <c r="BLF7" s="71"/>
      <c r="BLG7" s="71"/>
      <c r="BLH7" s="71"/>
      <c r="BLI7" s="71"/>
      <c r="BLJ7" s="71"/>
      <c r="BLK7" s="71"/>
      <c r="BLL7" s="71"/>
      <c r="BLM7" s="71"/>
      <c r="BLN7" s="71"/>
      <c r="BLO7" s="71"/>
      <c r="BLP7" s="71"/>
      <c r="BLQ7" s="71"/>
      <c r="BLR7" s="71"/>
      <c r="BLS7" s="71"/>
      <c r="BLT7" s="71"/>
      <c r="BLU7" s="71"/>
      <c r="BLV7" s="71"/>
      <c r="BLW7" s="71"/>
      <c r="BLX7" s="71"/>
      <c r="BLY7" s="71"/>
      <c r="BLZ7" s="71"/>
      <c r="BMA7" s="71"/>
      <c r="BMB7" s="71"/>
      <c r="BMC7" s="71"/>
      <c r="BMD7" s="71"/>
      <c r="BME7" s="71"/>
      <c r="BMF7" s="71"/>
      <c r="BMG7" s="71"/>
      <c r="BMH7" s="71"/>
      <c r="BMI7" s="71"/>
      <c r="BMJ7" s="71"/>
      <c r="BMK7" s="71"/>
      <c r="BML7" s="71"/>
      <c r="BMM7" s="71"/>
      <c r="BMN7" s="71"/>
      <c r="BMO7" s="71"/>
      <c r="BMP7" s="71"/>
      <c r="BMQ7" s="71"/>
      <c r="BMR7" s="71"/>
      <c r="BMS7" s="71"/>
      <c r="BMT7" s="71"/>
      <c r="BMU7" s="71"/>
      <c r="BMV7" s="71"/>
      <c r="BMW7" s="71"/>
      <c r="BMX7" s="71"/>
      <c r="BMY7" s="71"/>
      <c r="BMZ7" s="71"/>
      <c r="BNA7" s="71"/>
      <c r="BNB7" s="71"/>
      <c r="BNC7" s="71"/>
      <c r="BND7" s="71"/>
      <c r="BNE7" s="71"/>
      <c r="BNF7" s="71"/>
      <c r="BNG7" s="71"/>
      <c r="BNH7" s="71"/>
      <c r="BNI7" s="71"/>
      <c r="BNJ7" s="71"/>
      <c r="BNK7" s="71"/>
      <c r="BNL7" s="71"/>
      <c r="BNM7" s="71"/>
      <c r="BNN7" s="71"/>
      <c r="BNO7" s="71"/>
      <c r="BNP7" s="71"/>
      <c r="BNQ7" s="71"/>
      <c r="BNR7" s="71"/>
      <c r="BNS7" s="71"/>
      <c r="BNT7" s="71"/>
      <c r="BNU7" s="71"/>
      <c r="BNV7" s="71"/>
      <c r="BNW7" s="71"/>
      <c r="BNX7" s="71"/>
      <c r="BNY7" s="71"/>
      <c r="BNZ7" s="71"/>
      <c r="BOA7" s="71"/>
      <c r="BOB7" s="71"/>
      <c r="BOC7" s="71"/>
      <c r="BOD7" s="71"/>
      <c r="BOE7" s="71"/>
      <c r="BOF7" s="71"/>
      <c r="BOG7" s="71"/>
      <c r="BOH7" s="71"/>
      <c r="BOI7" s="71"/>
      <c r="BOJ7" s="71"/>
      <c r="BOK7" s="71"/>
      <c r="BOL7" s="71"/>
      <c r="BOM7" s="71"/>
      <c r="BON7" s="71"/>
      <c r="BOO7" s="71"/>
      <c r="BOP7" s="71"/>
      <c r="BOQ7" s="71"/>
      <c r="BOR7" s="71"/>
      <c r="BOS7" s="71"/>
      <c r="BOT7" s="71"/>
      <c r="BOU7" s="71"/>
      <c r="BOV7" s="71"/>
      <c r="BOW7" s="71"/>
      <c r="BOX7" s="71"/>
      <c r="BOY7" s="71"/>
      <c r="BOZ7" s="71"/>
      <c r="BPA7" s="71"/>
      <c r="BPB7" s="71"/>
      <c r="BPC7" s="71"/>
      <c r="BPD7" s="71"/>
      <c r="BPE7" s="71"/>
      <c r="BPF7" s="71"/>
      <c r="BPG7" s="71"/>
      <c r="BPH7" s="71"/>
      <c r="BPI7" s="71"/>
      <c r="BPJ7" s="71"/>
      <c r="BPK7" s="71"/>
      <c r="BPL7" s="71"/>
      <c r="BPM7" s="71"/>
      <c r="BPN7" s="71"/>
      <c r="BPO7" s="71"/>
      <c r="BPP7" s="71"/>
      <c r="BPQ7" s="71"/>
      <c r="BPR7" s="71"/>
      <c r="BPS7" s="71"/>
      <c r="BPT7" s="71"/>
      <c r="BPU7" s="71"/>
      <c r="BPV7" s="71"/>
      <c r="BPW7" s="71"/>
      <c r="BPX7" s="71"/>
      <c r="BPY7" s="71"/>
      <c r="BPZ7" s="71"/>
      <c r="BQA7" s="71"/>
      <c r="BQB7" s="71"/>
      <c r="BQC7" s="71"/>
      <c r="BQD7" s="71"/>
      <c r="BQE7" s="71"/>
      <c r="BQF7" s="71"/>
      <c r="BQG7" s="71"/>
      <c r="BQH7" s="71"/>
      <c r="BQI7" s="71"/>
      <c r="BQJ7" s="71"/>
      <c r="BQK7" s="71"/>
      <c r="BQL7" s="71"/>
      <c r="BQM7" s="71"/>
      <c r="BQN7" s="71"/>
      <c r="BQO7" s="71"/>
      <c r="BQP7" s="71"/>
      <c r="BQQ7" s="71"/>
      <c r="BQR7" s="71"/>
      <c r="BQS7" s="71"/>
      <c r="BQT7" s="71"/>
      <c r="BQU7" s="71"/>
      <c r="BQV7" s="71"/>
      <c r="BQW7" s="71"/>
      <c r="BQX7" s="71"/>
      <c r="BQY7" s="71"/>
      <c r="BQZ7" s="71"/>
      <c r="BRA7" s="71"/>
      <c r="BRB7" s="71"/>
      <c r="BRC7" s="71"/>
      <c r="BRD7" s="71"/>
      <c r="BRE7" s="71"/>
      <c r="BRF7" s="71"/>
      <c r="BRG7" s="71"/>
      <c r="BRH7" s="71"/>
      <c r="BRI7" s="71"/>
      <c r="BRJ7" s="71"/>
      <c r="BRK7" s="71"/>
      <c r="BRL7" s="71"/>
      <c r="BRM7" s="71"/>
      <c r="BRN7" s="71"/>
      <c r="BRO7" s="71"/>
      <c r="BRP7" s="71"/>
      <c r="BRQ7" s="71"/>
      <c r="BRR7" s="71"/>
      <c r="BRS7" s="71"/>
      <c r="BRT7" s="71"/>
      <c r="BRU7" s="71"/>
      <c r="BRV7" s="71"/>
      <c r="BRW7" s="71"/>
      <c r="BRX7" s="71"/>
      <c r="BRY7" s="71"/>
      <c r="BRZ7" s="71"/>
      <c r="BSA7" s="71"/>
      <c r="BSB7" s="71"/>
      <c r="BSC7" s="71"/>
      <c r="BSD7" s="71"/>
      <c r="BSE7" s="71"/>
      <c r="BSF7" s="71"/>
      <c r="BSG7" s="71"/>
      <c r="BSH7" s="71"/>
      <c r="BSI7" s="71"/>
      <c r="BSJ7" s="71"/>
      <c r="BSK7" s="71"/>
      <c r="BSL7" s="71"/>
      <c r="BSM7" s="71"/>
      <c r="BSN7" s="71"/>
      <c r="BSO7" s="71"/>
      <c r="BSP7" s="71"/>
      <c r="BSQ7" s="71"/>
      <c r="BSR7" s="71"/>
      <c r="BSS7" s="71"/>
      <c r="BST7" s="71"/>
      <c r="BSU7" s="71"/>
      <c r="BSV7" s="71"/>
      <c r="BSW7" s="71"/>
      <c r="BSX7" s="71"/>
      <c r="BSY7" s="71"/>
      <c r="BSZ7" s="71"/>
      <c r="BTA7" s="71"/>
      <c r="BTB7" s="71"/>
      <c r="BTC7" s="71"/>
      <c r="BTD7" s="71"/>
      <c r="BTE7" s="71"/>
      <c r="BTF7" s="71"/>
      <c r="BTG7" s="71"/>
      <c r="BTH7" s="71"/>
      <c r="BTI7" s="71"/>
      <c r="BTJ7" s="71"/>
      <c r="BTK7" s="71"/>
      <c r="BTL7" s="71"/>
      <c r="BTM7" s="71"/>
      <c r="BTN7" s="71"/>
      <c r="BTO7" s="71"/>
      <c r="BTP7" s="71"/>
      <c r="BTQ7" s="71"/>
      <c r="BTR7" s="71"/>
      <c r="BTS7" s="71"/>
      <c r="BTT7" s="71"/>
      <c r="BTU7" s="71"/>
      <c r="BTV7" s="71"/>
      <c r="BTW7" s="71"/>
      <c r="BTX7" s="71"/>
      <c r="BTY7" s="71"/>
      <c r="BTZ7" s="71"/>
      <c r="BUA7" s="71"/>
      <c r="BUB7" s="71"/>
      <c r="BUC7" s="71"/>
      <c r="BUD7" s="71"/>
      <c r="BUE7" s="71"/>
      <c r="BUF7" s="71"/>
      <c r="BUG7" s="71"/>
      <c r="BUH7" s="71"/>
      <c r="BUI7" s="71"/>
      <c r="BUJ7" s="71"/>
      <c r="BUK7" s="71"/>
      <c r="BUL7" s="71"/>
      <c r="BUM7" s="71"/>
      <c r="BUN7" s="71"/>
      <c r="BUO7" s="71"/>
      <c r="BUP7" s="71"/>
      <c r="BUQ7" s="71"/>
      <c r="BUR7" s="71"/>
      <c r="BUS7" s="71"/>
      <c r="BUT7" s="71"/>
      <c r="BUU7" s="71"/>
      <c r="BUV7" s="71"/>
      <c r="BUW7" s="71"/>
      <c r="BUX7" s="71"/>
      <c r="BUY7" s="71"/>
      <c r="BUZ7" s="71"/>
      <c r="BVA7" s="71"/>
      <c r="BVB7" s="71"/>
      <c r="BVC7" s="71"/>
      <c r="BVD7" s="71"/>
      <c r="BVE7" s="71"/>
      <c r="BVF7" s="71"/>
      <c r="BVG7" s="71"/>
      <c r="BVH7" s="71"/>
      <c r="BVI7" s="71"/>
      <c r="BVJ7" s="71"/>
      <c r="BVK7" s="71"/>
      <c r="BVL7" s="71"/>
      <c r="BVM7" s="71"/>
      <c r="BVN7" s="71"/>
      <c r="BVO7" s="71"/>
      <c r="BVP7" s="71"/>
      <c r="BVQ7" s="71"/>
      <c r="BVR7" s="71"/>
      <c r="BVS7" s="71"/>
      <c r="BVT7" s="71"/>
      <c r="BVU7" s="71"/>
      <c r="BVV7" s="71"/>
      <c r="BVW7" s="71"/>
      <c r="BVX7" s="71"/>
      <c r="BVY7" s="71"/>
      <c r="BVZ7" s="71"/>
      <c r="BWA7" s="71"/>
      <c r="BWB7" s="71"/>
      <c r="BWC7" s="71"/>
      <c r="BWD7" s="71"/>
      <c r="BWE7" s="71"/>
      <c r="BWF7" s="71"/>
      <c r="BWG7" s="71"/>
      <c r="BWH7" s="71"/>
      <c r="BWI7" s="71"/>
      <c r="BWJ7" s="71"/>
      <c r="BWK7" s="71"/>
      <c r="BWL7" s="71"/>
      <c r="BWM7" s="71"/>
      <c r="BWN7" s="71"/>
      <c r="BWO7" s="71"/>
      <c r="BWP7" s="71"/>
      <c r="BWQ7" s="71"/>
      <c r="BWR7" s="71"/>
      <c r="BWS7" s="71"/>
      <c r="BWT7" s="71"/>
      <c r="BWU7" s="71"/>
      <c r="BWV7" s="71"/>
      <c r="BWW7" s="71"/>
      <c r="BWX7" s="71"/>
      <c r="BWY7" s="71"/>
      <c r="BWZ7" s="71"/>
      <c r="BXA7" s="71"/>
      <c r="BXB7" s="71"/>
      <c r="BXC7" s="71"/>
      <c r="BXD7" s="71"/>
      <c r="BXE7" s="71"/>
      <c r="BXF7" s="71"/>
      <c r="BXG7" s="71"/>
      <c r="BXH7" s="71"/>
      <c r="BXI7" s="71"/>
      <c r="BXJ7" s="71"/>
      <c r="BXK7" s="71"/>
      <c r="BXL7" s="71"/>
      <c r="BXM7" s="71"/>
      <c r="BXN7" s="71"/>
      <c r="BXO7" s="71"/>
      <c r="BXP7" s="71"/>
      <c r="BXQ7" s="71"/>
      <c r="BXR7" s="71"/>
      <c r="BXS7" s="71"/>
      <c r="BXT7" s="71"/>
      <c r="BXU7" s="71"/>
      <c r="BXV7" s="71"/>
      <c r="BXW7" s="71"/>
      <c r="BXX7" s="71"/>
      <c r="BXY7" s="71"/>
      <c r="BXZ7" s="71"/>
      <c r="BYA7" s="71"/>
      <c r="BYB7" s="71"/>
      <c r="BYC7" s="71"/>
      <c r="BYD7" s="71"/>
      <c r="BYE7" s="71"/>
      <c r="BYF7" s="71"/>
      <c r="BYG7" s="71"/>
      <c r="BYH7" s="71"/>
      <c r="BYI7" s="71"/>
      <c r="BYJ7" s="71"/>
      <c r="BYK7" s="71"/>
      <c r="BYL7" s="71"/>
      <c r="BYM7" s="71"/>
      <c r="BYN7" s="71"/>
      <c r="BYO7" s="71"/>
      <c r="BYP7" s="71"/>
      <c r="BYQ7" s="71"/>
      <c r="BYR7" s="71"/>
      <c r="BYS7" s="71"/>
      <c r="BYT7" s="71"/>
      <c r="BYU7" s="71"/>
      <c r="BYV7" s="71"/>
      <c r="BYW7" s="71"/>
      <c r="BYX7" s="71"/>
      <c r="BYY7" s="71"/>
      <c r="BYZ7" s="71"/>
      <c r="BZA7" s="71"/>
      <c r="BZB7" s="71"/>
      <c r="BZC7" s="71"/>
      <c r="BZD7" s="71"/>
      <c r="BZE7" s="71"/>
      <c r="BZF7" s="71"/>
      <c r="BZG7" s="71"/>
      <c r="BZH7" s="71"/>
      <c r="BZI7" s="71"/>
      <c r="BZJ7" s="71"/>
      <c r="BZK7" s="71"/>
      <c r="BZL7" s="71"/>
      <c r="BZM7" s="71"/>
      <c r="BZN7" s="71"/>
      <c r="BZO7" s="71"/>
      <c r="BZP7" s="71"/>
      <c r="BZQ7" s="71"/>
      <c r="BZR7" s="71"/>
      <c r="BZS7" s="71"/>
      <c r="BZT7" s="71"/>
      <c r="BZU7" s="71"/>
      <c r="BZV7" s="71"/>
      <c r="BZW7" s="71"/>
      <c r="BZX7" s="71"/>
      <c r="BZY7" s="71"/>
      <c r="BZZ7" s="71"/>
      <c r="CAA7" s="71"/>
      <c r="CAB7" s="71"/>
      <c r="CAC7" s="71"/>
      <c r="CAD7" s="71"/>
      <c r="CAE7" s="71"/>
      <c r="CAF7" s="71"/>
      <c r="CAG7" s="71"/>
      <c r="CAH7" s="71"/>
      <c r="CAI7" s="71"/>
      <c r="CAJ7" s="71"/>
      <c r="CAK7" s="71"/>
      <c r="CAL7" s="71"/>
      <c r="CAM7" s="71"/>
      <c r="CAN7" s="71"/>
      <c r="CAO7" s="71"/>
      <c r="CAP7" s="71"/>
      <c r="CAQ7" s="71"/>
      <c r="CAR7" s="71"/>
      <c r="CAS7" s="71"/>
      <c r="CAT7" s="71"/>
      <c r="CAU7" s="71"/>
      <c r="CAV7" s="71"/>
      <c r="CAW7" s="71"/>
      <c r="CAX7" s="71"/>
      <c r="CAY7" s="71"/>
      <c r="CAZ7" s="71"/>
      <c r="CBA7" s="71"/>
      <c r="CBB7" s="71"/>
      <c r="CBC7" s="71"/>
      <c r="CBD7" s="71"/>
      <c r="CBE7" s="71"/>
      <c r="CBF7" s="71"/>
      <c r="CBG7" s="71"/>
      <c r="CBH7" s="71"/>
      <c r="CBI7" s="71"/>
      <c r="CBJ7" s="71"/>
      <c r="CBK7" s="71"/>
      <c r="CBL7" s="71"/>
      <c r="CBM7" s="71"/>
      <c r="CBN7" s="71"/>
      <c r="CBO7" s="71"/>
      <c r="CBP7" s="71"/>
      <c r="CBQ7" s="71"/>
      <c r="CBR7" s="71"/>
      <c r="CBS7" s="71"/>
      <c r="CBT7" s="71"/>
      <c r="CBU7" s="71"/>
      <c r="CBV7" s="71"/>
      <c r="CBW7" s="71"/>
      <c r="CBX7" s="71"/>
      <c r="CBY7" s="71"/>
      <c r="CBZ7" s="71"/>
      <c r="CCA7" s="71"/>
      <c r="CCB7" s="71"/>
      <c r="CCC7" s="71"/>
      <c r="CCD7" s="71"/>
      <c r="CCE7" s="71"/>
      <c r="CCF7" s="71"/>
      <c r="CCG7" s="71"/>
      <c r="CCH7" s="71"/>
      <c r="CCI7" s="71"/>
      <c r="CCJ7" s="71"/>
      <c r="CCK7" s="71"/>
      <c r="CCL7" s="71"/>
      <c r="CCM7" s="71"/>
      <c r="CCN7" s="71"/>
      <c r="CCO7" s="71"/>
      <c r="CCP7" s="71"/>
      <c r="CCQ7" s="71"/>
      <c r="CCR7" s="71"/>
      <c r="CCS7" s="71"/>
      <c r="CCT7" s="71"/>
      <c r="CCU7" s="71"/>
      <c r="CCV7" s="71"/>
      <c r="CCW7" s="71"/>
      <c r="CCX7" s="71"/>
      <c r="CCY7" s="71"/>
      <c r="CCZ7" s="71"/>
      <c r="CDA7" s="71"/>
      <c r="CDB7" s="71"/>
      <c r="CDC7" s="71"/>
      <c r="CDD7" s="71"/>
      <c r="CDE7" s="71"/>
      <c r="CDF7" s="71"/>
      <c r="CDG7" s="71"/>
      <c r="CDH7" s="71"/>
      <c r="CDI7" s="71"/>
      <c r="CDJ7" s="71"/>
      <c r="CDK7" s="71"/>
      <c r="CDL7" s="71"/>
      <c r="CDM7" s="71"/>
      <c r="CDN7" s="71"/>
      <c r="CDO7" s="71"/>
      <c r="CDP7" s="71"/>
      <c r="CDQ7" s="71"/>
      <c r="CDR7" s="71"/>
      <c r="CDS7" s="71"/>
      <c r="CDT7" s="71"/>
      <c r="CDU7" s="71"/>
      <c r="CDV7" s="71"/>
      <c r="CDW7" s="71"/>
      <c r="CDX7" s="71"/>
      <c r="CDY7" s="71"/>
      <c r="CDZ7" s="71"/>
      <c r="CEA7" s="71"/>
      <c r="CEB7" s="71"/>
      <c r="CEC7" s="71"/>
      <c r="CED7" s="71"/>
      <c r="CEE7" s="71"/>
      <c r="CEF7" s="71"/>
      <c r="CEG7" s="71"/>
      <c r="CEH7" s="71"/>
      <c r="CEI7" s="71"/>
      <c r="CEJ7" s="71"/>
      <c r="CEK7" s="71"/>
      <c r="CEL7" s="71"/>
      <c r="CEM7" s="71"/>
      <c r="CEN7" s="71"/>
      <c r="CEO7" s="71"/>
      <c r="CEP7" s="71"/>
      <c r="CEQ7" s="71"/>
      <c r="CER7" s="71"/>
      <c r="CES7" s="71"/>
      <c r="CET7" s="71"/>
      <c r="CEU7" s="71"/>
      <c r="CEV7" s="71"/>
      <c r="CEW7" s="71"/>
      <c r="CEX7" s="71"/>
      <c r="CEY7" s="71"/>
      <c r="CEZ7" s="71"/>
      <c r="CFA7" s="71"/>
      <c r="CFB7" s="71"/>
      <c r="CFC7" s="71"/>
      <c r="CFD7" s="71"/>
      <c r="CFE7" s="71"/>
      <c r="CFF7" s="71"/>
      <c r="CFG7" s="71"/>
      <c r="CFH7" s="71"/>
      <c r="CFI7" s="71"/>
      <c r="CFJ7" s="71"/>
      <c r="CFK7" s="71"/>
      <c r="CFL7" s="71"/>
      <c r="CFM7" s="71"/>
      <c r="CFN7" s="71"/>
      <c r="CFO7" s="71"/>
      <c r="CFP7" s="71"/>
      <c r="CFQ7" s="71"/>
      <c r="CFR7" s="71"/>
      <c r="CFS7" s="71"/>
      <c r="CFT7" s="71"/>
      <c r="CFU7" s="71"/>
      <c r="CFV7" s="71"/>
      <c r="CFW7" s="71"/>
      <c r="CFX7" s="71"/>
      <c r="CFY7" s="71"/>
      <c r="CFZ7" s="71"/>
      <c r="CGA7" s="71"/>
      <c r="CGB7" s="71"/>
      <c r="CGC7" s="71"/>
      <c r="CGD7" s="71"/>
      <c r="CGE7" s="71"/>
      <c r="CGF7" s="71"/>
      <c r="CGG7" s="71"/>
      <c r="CGH7" s="71"/>
      <c r="CGI7" s="71"/>
      <c r="CGJ7" s="71"/>
      <c r="CGK7" s="71"/>
      <c r="CGL7" s="71"/>
      <c r="CGM7" s="71"/>
      <c r="CGN7" s="71"/>
      <c r="CGO7" s="71"/>
      <c r="CGP7" s="71"/>
      <c r="CGQ7" s="71"/>
      <c r="CGR7" s="71"/>
      <c r="CGS7" s="71"/>
      <c r="CGT7" s="71"/>
      <c r="CGU7" s="71"/>
      <c r="CGV7" s="71"/>
      <c r="CGW7" s="71"/>
      <c r="CGX7" s="71"/>
      <c r="CGY7" s="71"/>
      <c r="CGZ7" s="71"/>
      <c r="CHA7" s="71"/>
      <c r="CHB7" s="71"/>
      <c r="CHC7" s="71"/>
      <c r="CHD7" s="71"/>
      <c r="CHE7" s="71"/>
      <c r="CHF7" s="71"/>
      <c r="CHG7" s="71"/>
      <c r="CHH7" s="71"/>
      <c r="CHI7" s="71"/>
      <c r="CHJ7" s="71"/>
      <c r="CHK7" s="71"/>
      <c r="CHL7" s="71"/>
      <c r="CHM7" s="71"/>
      <c r="CHN7" s="71"/>
      <c r="CHO7" s="71"/>
      <c r="CHP7" s="71"/>
      <c r="CHQ7" s="71"/>
      <c r="CHR7" s="71"/>
      <c r="CHS7" s="71"/>
      <c r="CHT7" s="71"/>
      <c r="CHU7" s="71"/>
      <c r="CHV7" s="71"/>
      <c r="CHW7" s="71"/>
      <c r="CHX7" s="71"/>
      <c r="CHY7" s="71"/>
      <c r="CHZ7" s="71"/>
      <c r="CIA7" s="71"/>
      <c r="CIB7" s="71"/>
      <c r="CIC7" s="71"/>
      <c r="CID7" s="71"/>
      <c r="CIE7" s="71"/>
      <c r="CIF7" s="71"/>
      <c r="CIG7" s="71"/>
      <c r="CIH7" s="71"/>
      <c r="CII7" s="71"/>
      <c r="CIJ7" s="71"/>
      <c r="CIK7" s="71"/>
      <c r="CIL7" s="71"/>
      <c r="CIM7" s="71"/>
      <c r="CIN7" s="71"/>
      <c r="CIO7" s="71"/>
      <c r="CIP7" s="71"/>
      <c r="CIQ7" s="71"/>
      <c r="CIR7" s="71"/>
      <c r="CIS7" s="71"/>
      <c r="CIT7" s="71"/>
      <c r="CIU7" s="71"/>
      <c r="CIV7" s="71"/>
      <c r="CIW7" s="71"/>
      <c r="CIX7" s="71"/>
      <c r="CIY7" s="71"/>
      <c r="CIZ7" s="71"/>
      <c r="CJA7" s="71"/>
      <c r="CJB7" s="71"/>
      <c r="CJC7" s="71"/>
      <c r="CJD7" s="71"/>
      <c r="CJE7" s="71"/>
      <c r="CJF7" s="71"/>
      <c r="CJG7" s="71"/>
      <c r="CJH7" s="71"/>
      <c r="CJI7" s="71"/>
      <c r="CJJ7" s="71"/>
      <c r="CJK7" s="71"/>
      <c r="CJL7" s="71"/>
      <c r="CJM7" s="71"/>
      <c r="CJN7" s="71"/>
      <c r="CJO7" s="71"/>
      <c r="CJP7" s="71"/>
      <c r="CJQ7" s="71"/>
      <c r="CJR7" s="71"/>
      <c r="CJS7" s="71"/>
      <c r="CJT7" s="71"/>
      <c r="CJU7" s="71"/>
      <c r="CJV7" s="71"/>
      <c r="CJW7" s="71"/>
      <c r="CJX7" s="71"/>
      <c r="CJY7" s="71"/>
      <c r="CJZ7" s="71"/>
      <c r="CKA7" s="71"/>
      <c r="CKB7" s="71"/>
      <c r="CKC7" s="71"/>
      <c r="CKD7" s="71"/>
      <c r="CKE7" s="71"/>
      <c r="CKF7" s="71"/>
      <c r="CKG7" s="71"/>
      <c r="CKH7" s="71"/>
      <c r="CKI7" s="71"/>
      <c r="CKJ7" s="71"/>
      <c r="CKK7" s="71"/>
      <c r="CKL7" s="71"/>
      <c r="CKM7" s="71"/>
      <c r="CKN7" s="71"/>
      <c r="CKO7" s="71"/>
      <c r="CKP7" s="71"/>
      <c r="CKQ7" s="71"/>
      <c r="CKR7" s="71"/>
      <c r="CKS7" s="71"/>
      <c r="CKT7" s="71"/>
      <c r="CKU7" s="71"/>
      <c r="CKV7" s="71"/>
      <c r="CKW7" s="71"/>
      <c r="CKX7" s="71"/>
      <c r="CKY7" s="71"/>
      <c r="CKZ7" s="71"/>
      <c r="CLA7" s="71"/>
      <c r="CLB7" s="71"/>
      <c r="CLC7" s="71"/>
      <c r="CLD7" s="71"/>
      <c r="CLE7" s="71"/>
      <c r="CLF7" s="71"/>
      <c r="CLG7" s="71"/>
      <c r="CLH7" s="71"/>
      <c r="CLI7" s="71"/>
      <c r="CLJ7" s="71"/>
      <c r="CLK7" s="71"/>
      <c r="CLL7" s="71"/>
      <c r="CLM7" s="71"/>
      <c r="CLN7" s="71"/>
      <c r="CLO7" s="71"/>
      <c r="CLP7" s="71"/>
      <c r="CLQ7" s="71"/>
      <c r="CLR7" s="71"/>
      <c r="CLS7" s="71"/>
      <c r="CLT7" s="71"/>
      <c r="CLU7" s="71"/>
      <c r="CLV7" s="71"/>
      <c r="CLW7" s="71"/>
      <c r="CLX7" s="71"/>
      <c r="CLY7" s="71"/>
      <c r="CLZ7" s="71"/>
      <c r="CMA7" s="71"/>
      <c r="CMB7" s="71"/>
      <c r="CMC7" s="71"/>
      <c r="CMD7" s="71"/>
      <c r="CME7" s="71"/>
      <c r="CMF7" s="71"/>
      <c r="CMG7" s="71"/>
      <c r="CMH7" s="71"/>
      <c r="CMI7" s="71"/>
      <c r="CMJ7" s="71"/>
      <c r="CMK7" s="71"/>
      <c r="CML7" s="71"/>
      <c r="CMM7" s="71"/>
      <c r="CMN7" s="71"/>
      <c r="CMO7" s="71"/>
      <c r="CMP7" s="71"/>
      <c r="CMQ7" s="71"/>
      <c r="CMR7" s="71"/>
      <c r="CMS7" s="71"/>
      <c r="CMT7" s="71"/>
      <c r="CMU7" s="71"/>
      <c r="CMV7" s="71"/>
      <c r="CMW7" s="71"/>
      <c r="CMX7" s="71"/>
      <c r="CMY7" s="71"/>
      <c r="CMZ7" s="71"/>
      <c r="CNA7" s="71"/>
      <c r="CNB7" s="71"/>
      <c r="CNC7" s="71"/>
      <c r="CND7" s="71"/>
      <c r="CNE7" s="71"/>
      <c r="CNF7" s="71"/>
      <c r="CNG7" s="71"/>
      <c r="CNH7" s="71"/>
      <c r="CNI7" s="71"/>
      <c r="CNJ7" s="71"/>
      <c r="CNK7" s="71"/>
      <c r="CNL7" s="71"/>
      <c r="CNM7" s="71"/>
      <c r="CNN7" s="71"/>
      <c r="CNO7" s="71"/>
      <c r="CNP7" s="71"/>
      <c r="CNQ7" s="71"/>
      <c r="CNR7" s="71"/>
      <c r="CNS7" s="71"/>
      <c r="CNT7" s="71"/>
      <c r="CNU7" s="71"/>
      <c r="CNV7" s="71"/>
      <c r="CNW7" s="71"/>
      <c r="CNX7" s="71"/>
      <c r="CNY7" s="71"/>
      <c r="CNZ7" s="71"/>
      <c r="COA7" s="71"/>
      <c r="COB7" s="71"/>
      <c r="COC7" s="71"/>
      <c r="COD7" s="71"/>
      <c r="COE7" s="71"/>
      <c r="COF7" s="71"/>
      <c r="COG7" s="71"/>
      <c r="COH7" s="71"/>
      <c r="COI7" s="71"/>
      <c r="COJ7" s="71"/>
      <c r="COK7" s="71"/>
      <c r="COL7" s="71"/>
      <c r="COM7" s="71"/>
      <c r="CON7" s="71"/>
      <c r="COO7" s="71"/>
      <c r="COP7" s="71"/>
      <c r="COQ7" s="71"/>
      <c r="COR7" s="71"/>
      <c r="COS7" s="71"/>
      <c r="COT7" s="71"/>
      <c r="COU7" s="71"/>
      <c r="COV7" s="71"/>
      <c r="COW7" s="71"/>
      <c r="COX7" s="71"/>
      <c r="COY7" s="71"/>
      <c r="COZ7" s="71"/>
      <c r="CPA7" s="71"/>
      <c r="CPB7" s="71"/>
      <c r="CPC7" s="71"/>
      <c r="CPD7" s="71"/>
      <c r="CPE7" s="71"/>
      <c r="CPF7" s="71"/>
      <c r="CPG7" s="71"/>
      <c r="CPH7" s="71"/>
      <c r="CPI7" s="71"/>
      <c r="CPJ7" s="71"/>
      <c r="CPK7" s="71"/>
      <c r="CPL7" s="71"/>
      <c r="CPM7" s="71"/>
      <c r="CPN7" s="71"/>
      <c r="CPO7" s="71"/>
      <c r="CPP7" s="71"/>
      <c r="CPQ7" s="71"/>
      <c r="CPR7" s="71"/>
      <c r="CPS7" s="71"/>
      <c r="CPT7" s="71"/>
      <c r="CPU7" s="71"/>
      <c r="CPV7" s="71"/>
      <c r="CPW7" s="71"/>
      <c r="CPX7" s="71"/>
      <c r="CPY7" s="71"/>
      <c r="CPZ7" s="71"/>
      <c r="CQA7" s="71"/>
      <c r="CQB7" s="71"/>
      <c r="CQC7" s="71"/>
      <c r="CQD7" s="71"/>
      <c r="CQE7" s="71"/>
      <c r="CQF7" s="71"/>
      <c r="CQG7" s="71"/>
      <c r="CQH7" s="71"/>
      <c r="CQI7" s="71"/>
      <c r="CQJ7" s="71"/>
      <c r="CQK7" s="71"/>
      <c r="CQL7" s="71"/>
      <c r="CQM7" s="71"/>
      <c r="CQN7" s="71"/>
      <c r="CQO7" s="71"/>
      <c r="CQP7" s="71"/>
      <c r="CQQ7" s="71"/>
      <c r="CQR7" s="71"/>
      <c r="CQS7" s="71"/>
      <c r="CQT7" s="71"/>
      <c r="CQU7" s="71"/>
      <c r="CQV7" s="71"/>
      <c r="CQW7" s="71"/>
      <c r="CQX7" s="71"/>
      <c r="CQY7" s="71"/>
      <c r="CQZ7" s="71"/>
      <c r="CRA7" s="71"/>
      <c r="CRB7" s="71"/>
      <c r="CRC7" s="71"/>
      <c r="CRD7" s="71"/>
      <c r="CRE7" s="71"/>
      <c r="CRF7" s="71"/>
      <c r="CRG7" s="71"/>
      <c r="CRH7" s="71"/>
      <c r="CRI7" s="71"/>
      <c r="CRJ7" s="71"/>
      <c r="CRK7" s="71"/>
      <c r="CRL7" s="71"/>
      <c r="CRM7" s="71"/>
      <c r="CRN7" s="71"/>
      <c r="CRO7" s="71"/>
      <c r="CRP7" s="71"/>
      <c r="CRQ7" s="71"/>
      <c r="CRR7" s="71"/>
      <c r="CRS7" s="71"/>
      <c r="CRT7" s="71"/>
      <c r="CRU7" s="71"/>
      <c r="CRV7" s="71"/>
      <c r="CRW7" s="71"/>
      <c r="CRX7" s="71"/>
      <c r="CRY7" s="71"/>
      <c r="CRZ7" s="71"/>
      <c r="CSA7" s="71"/>
      <c r="CSB7" s="71"/>
      <c r="CSC7" s="71"/>
      <c r="CSD7" s="71"/>
      <c r="CSE7" s="71"/>
      <c r="CSF7" s="71"/>
      <c r="CSG7" s="71"/>
      <c r="CSH7" s="71"/>
      <c r="CSI7" s="71"/>
      <c r="CSJ7" s="71"/>
      <c r="CSK7" s="71"/>
      <c r="CSL7" s="71"/>
      <c r="CSM7" s="71"/>
      <c r="CSN7" s="71"/>
      <c r="CSO7" s="71"/>
      <c r="CSP7" s="71"/>
      <c r="CSQ7" s="71"/>
      <c r="CSR7" s="71"/>
      <c r="CSS7" s="71"/>
      <c r="CST7" s="71"/>
      <c r="CSU7" s="71"/>
      <c r="CSV7" s="71"/>
      <c r="CSW7" s="71"/>
      <c r="CSX7" s="71"/>
      <c r="CSY7" s="71"/>
      <c r="CSZ7" s="71"/>
      <c r="CTA7" s="71"/>
      <c r="CTB7" s="71"/>
      <c r="CTC7" s="71"/>
      <c r="CTD7" s="71"/>
      <c r="CTE7" s="71"/>
      <c r="CTF7" s="71"/>
      <c r="CTG7" s="71"/>
      <c r="CTH7" s="71"/>
      <c r="CTI7" s="71"/>
      <c r="CTJ7" s="71"/>
      <c r="CTK7" s="71"/>
      <c r="CTL7" s="71"/>
      <c r="CTM7" s="71"/>
      <c r="CTN7" s="71"/>
      <c r="CTO7" s="71"/>
      <c r="CTP7" s="71"/>
      <c r="CTQ7" s="71"/>
      <c r="CTR7" s="71"/>
      <c r="CTS7" s="71"/>
      <c r="CTT7" s="71"/>
      <c r="CTU7" s="71"/>
      <c r="CTV7" s="71"/>
      <c r="CTW7" s="71"/>
      <c r="CTX7" s="71"/>
      <c r="CTY7" s="71"/>
      <c r="CTZ7" s="71"/>
      <c r="CUA7" s="71"/>
      <c r="CUB7" s="71"/>
      <c r="CUC7" s="71"/>
      <c r="CUD7" s="71"/>
      <c r="CUE7" s="71"/>
      <c r="CUF7" s="71"/>
      <c r="CUG7" s="71"/>
      <c r="CUH7" s="71"/>
      <c r="CUI7" s="71"/>
      <c r="CUJ7" s="71"/>
      <c r="CUK7" s="71"/>
      <c r="CUL7" s="71"/>
      <c r="CUM7" s="71"/>
      <c r="CUN7" s="71"/>
      <c r="CUO7" s="71"/>
      <c r="CUP7" s="71"/>
      <c r="CUQ7" s="71"/>
      <c r="CUR7" s="71"/>
      <c r="CUS7" s="71"/>
      <c r="CUT7" s="71"/>
      <c r="CUU7" s="71"/>
      <c r="CUV7" s="71"/>
      <c r="CUW7" s="71"/>
      <c r="CUX7" s="71"/>
      <c r="CUY7" s="71"/>
      <c r="CUZ7" s="71"/>
      <c r="CVA7" s="71"/>
      <c r="CVB7" s="71"/>
      <c r="CVC7" s="71"/>
      <c r="CVD7" s="71"/>
      <c r="CVE7" s="71"/>
      <c r="CVF7" s="71"/>
      <c r="CVG7" s="71"/>
      <c r="CVH7" s="71"/>
      <c r="CVI7" s="71"/>
      <c r="CVJ7" s="71"/>
      <c r="CVK7" s="71"/>
      <c r="CVL7" s="71"/>
      <c r="CVM7" s="71"/>
      <c r="CVN7" s="71"/>
      <c r="CVO7" s="71"/>
      <c r="CVP7" s="71"/>
      <c r="CVQ7" s="71"/>
      <c r="CVR7" s="71"/>
      <c r="CVS7" s="71"/>
      <c r="CVT7" s="71"/>
      <c r="CVU7" s="71"/>
      <c r="CVV7" s="71"/>
      <c r="CVW7" s="71"/>
      <c r="CVX7" s="71"/>
      <c r="CVY7" s="71"/>
      <c r="CVZ7" s="71"/>
      <c r="CWA7" s="71"/>
      <c r="CWB7" s="71"/>
      <c r="CWC7" s="71"/>
      <c r="CWD7" s="71"/>
      <c r="CWE7" s="71"/>
      <c r="CWF7" s="71"/>
      <c r="CWG7" s="71"/>
      <c r="CWH7" s="71"/>
      <c r="CWI7" s="71"/>
      <c r="CWJ7" s="71"/>
      <c r="CWK7" s="71"/>
      <c r="CWL7" s="71"/>
      <c r="CWM7" s="71"/>
      <c r="CWN7" s="71"/>
      <c r="CWO7" s="71"/>
      <c r="CWP7" s="71"/>
      <c r="CWQ7" s="71"/>
      <c r="CWR7" s="71"/>
      <c r="CWS7" s="71"/>
      <c r="CWT7" s="71"/>
      <c r="CWU7" s="71"/>
      <c r="CWV7" s="71"/>
      <c r="CWW7" s="71"/>
      <c r="CWX7" s="71"/>
      <c r="CWY7" s="71"/>
      <c r="CWZ7" s="71"/>
      <c r="CXA7" s="71"/>
      <c r="CXB7" s="71"/>
      <c r="CXC7" s="71"/>
      <c r="CXD7" s="71"/>
      <c r="CXE7" s="71"/>
      <c r="CXF7" s="71"/>
      <c r="CXG7" s="71"/>
      <c r="CXH7" s="71"/>
      <c r="CXI7" s="71"/>
      <c r="CXJ7" s="71"/>
      <c r="CXK7" s="71"/>
      <c r="CXL7" s="71"/>
      <c r="CXM7" s="71"/>
      <c r="CXN7" s="71"/>
      <c r="CXO7" s="71"/>
      <c r="CXP7" s="71"/>
      <c r="CXQ7" s="71"/>
      <c r="CXR7" s="71"/>
      <c r="CXS7" s="71"/>
      <c r="CXT7" s="71"/>
      <c r="CXU7" s="71"/>
      <c r="CXV7" s="71"/>
      <c r="CXW7" s="71"/>
      <c r="CXX7" s="71"/>
      <c r="CXY7" s="71"/>
      <c r="CXZ7" s="71"/>
      <c r="CYA7" s="71"/>
      <c r="CYB7" s="71"/>
      <c r="CYC7" s="71"/>
      <c r="CYD7" s="71"/>
      <c r="CYE7" s="71"/>
      <c r="CYF7" s="71"/>
      <c r="CYG7" s="71"/>
      <c r="CYH7" s="71"/>
      <c r="CYI7" s="71"/>
      <c r="CYJ7" s="71"/>
      <c r="CYK7" s="71"/>
      <c r="CYL7" s="71"/>
      <c r="CYM7" s="71"/>
      <c r="CYN7" s="71"/>
      <c r="CYO7" s="71"/>
      <c r="CYP7" s="71"/>
      <c r="CYQ7" s="71"/>
      <c r="CYR7" s="71"/>
      <c r="CYS7" s="71"/>
      <c r="CYT7" s="71"/>
      <c r="CYU7" s="71"/>
      <c r="CYV7" s="71"/>
      <c r="CYW7" s="71"/>
      <c r="CYX7" s="71"/>
      <c r="CYY7" s="71"/>
      <c r="CYZ7" s="71"/>
      <c r="CZA7" s="71"/>
      <c r="CZB7" s="71"/>
      <c r="CZC7" s="71"/>
      <c r="CZD7" s="71"/>
      <c r="CZE7" s="71"/>
      <c r="CZF7" s="71"/>
      <c r="CZG7" s="71"/>
      <c r="CZH7" s="71"/>
      <c r="CZI7" s="71"/>
      <c r="CZJ7" s="71"/>
      <c r="CZK7" s="71"/>
      <c r="CZL7" s="71"/>
      <c r="CZM7" s="71"/>
      <c r="CZN7" s="71"/>
      <c r="CZO7" s="71"/>
      <c r="CZP7" s="71"/>
      <c r="CZQ7" s="71"/>
      <c r="CZR7" s="71"/>
      <c r="CZS7" s="71"/>
      <c r="CZT7" s="71"/>
      <c r="CZU7" s="71"/>
      <c r="CZV7" s="71"/>
      <c r="CZW7" s="71"/>
      <c r="CZX7" s="71"/>
      <c r="CZY7" s="71"/>
      <c r="CZZ7" s="71"/>
      <c r="DAA7" s="71"/>
      <c r="DAB7" s="71"/>
      <c r="DAC7" s="71"/>
      <c r="DAD7" s="71"/>
      <c r="DAE7" s="71"/>
      <c r="DAF7" s="71"/>
      <c r="DAG7" s="71"/>
      <c r="DAH7" s="71"/>
      <c r="DAI7" s="71"/>
      <c r="DAJ7" s="71"/>
      <c r="DAK7" s="71"/>
      <c r="DAL7" s="71"/>
      <c r="DAM7" s="71"/>
      <c r="DAN7" s="71"/>
      <c r="DAO7" s="71"/>
      <c r="DAP7" s="71"/>
      <c r="DAQ7" s="71"/>
      <c r="DAR7" s="71"/>
      <c r="DAS7" s="71"/>
      <c r="DAT7" s="71"/>
      <c r="DAU7" s="71"/>
      <c r="DAV7" s="71"/>
      <c r="DAW7" s="71"/>
      <c r="DAX7" s="71"/>
      <c r="DAY7" s="71"/>
      <c r="DAZ7" s="71"/>
      <c r="DBA7" s="71"/>
      <c r="DBB7" s="71"/>
      <c r="DBC7" s="71"/>
      <c r="DBD7" s="71"/>
      <c r="DBE7" s="71"/>
      <c r="DBF7" s="71"/>
      <c r="DBG7" s="71"/>
      <c r="DBH7" s="71"/>
      <c r="DBI7" s="71"/>
      <c r="DBJ7" s="71"/>
      <c r="DBK7" s="71"/>
      <c r="DBL7" s="71"/>
      <c r="DBM7" s="71"/>
      <c r="DBN7" s="71"/>
      <c r="DBO7" s="71"/>
      <c r="DBP7" s="71"/>
      <c r="DBQ7" s="71"/>
      <c r="DBR7" s="71"/>
      <c r="DBS7" s="71"/>
      <c r="DBT7" s="71"/>
      <c r="DBU7" s="71"/>
      <c r="DBV7" s="71"/>
      <c r="DBW7" s="71"/>
      <c r="DBX7" s="71"/>
      <c r="DBY7" s="71"/>
      <c r="DBZ7" s="71"/>
      <c r="DCA7" s="71"/>
      <c r="DCB7" s="71"/>
      <c r="DCC7" s="71"/>
      <c r="DCD7" s="71"/>
      <c r="DCE7" s="71"/>
      <c r="DCF7" s="71"/>
      <c r="DCG7" s="71"/>
      <c r="DCH7" s="71"/>
      <c r="DCI7" s="71"/>
      <c r="DCJ7" s="71"/>
      <c r="DCK7" s="71"/>
      <c r="DCL7" s="71"/>
      <c r="DCM7" s="71"/>
      <c r="DCN7" s="71"/>
      <c r="DCO7" s="71"/>
      <c r="DCP7" s="71"/>
      <c r="DCQ7" s="71"/>
      <c r="DCR7" s="71"/>
      <c r="DCS7" s="71"/>
      <c r="DCT7" s="71"/>
      <c r="DCU7" s="71"/>
      <c r="DCV7" s="71"/>
      <c r="DCW7" s="71"/>
      <c r="DCX7" s="71"/>
      <c r="DCY7" s="71"/>
      <c r="DCZ7" s="71"/>
      <c r="DDA7" s="71"/>
      <c r="DDB7" s="71"/>
      <c r="DDC7" s="71"/>
      <c r="DDD7" s="71"/>
      <c r="DDE7" s="71"/>
      <c r="DDF7" s="71"/>
      <c r="DDG7" s="71"/>
      <c r="DDH7" s="71"/>
      <c r="DDI7" s="71"/>
      <c r="DDJ7" s="71"/>
      <c r="DDK7" s="71"/>
      <c r="DDL7" s="71"/>
      <c r="DDM7" s="71"/>
      <c r="DDN7" s="71"/>
      <c r="DDO7" s="71"/>
      <c r="DDP7" s="71"/>
      <c r="DDQ7" s="71"/>
      <c r="DDR7" s="71"/>
      <c r="DDS7" s="71"/>
      <c r="DDT7" s="71"/>
      <c r="DDU7" s="71"/>
      <c r="DDV7" s="71"/>
      <c r="DDW7" s="71"/>
      <c r="DDX7" s="71"/>
      <c r="DDY7" s="71"/>
      <c r="DDZ7" s="71"/>
      <c r="DEA7" s="71"/>
      <c r="DEB7" s="71"/>
      <c r="DEC7" s="71"/>
      <c r="DED7" s="71"/>
      <c r="DEE7" s="71"/>
      <c r="DEF7" s="71"/>
      <c r="DEG7" s="71"/>
      <c r="DEH7" s="71"/>
      <c r="DEI7" s="71"/>
      <c r="DEJ7" s="71"/>
      <c r="DEK7" s="71"/>
      <c r="DEL7" s="71"/>
      <c r="DEM7" s="71"/>
      <c r="DEN7" s="71"/>
      <c r="DEO7" s="71"/>
      <c r="DEP7" s="71"/>
      <c r="DEQ7" s="71"/>
      <c r="DER7" s="71"/>
      <c r="DES7" s="71"/>
      <c r="DET7" s="71"/>
      <c r="DEU7" s="71"/>
      <c r="DEV7" s="71"/>
      <c r="DEW7" s="71"/>
      <c r="DEX7" s="71"/>
      <c r="DEY7" s="71"/>
      <c r="DEZ7" s="71"/>
      <c r="DFA7" s="71"/>
      <c r="DFB7" s="71"/>
      <c r="DFC7" s="71"/>
      <c r="DFD7" s="71"/>
      <c r="DFE7" s="71"/>
      <c r="DFF7" s="71"/>
      <c r="DFG7" s="71"/>
      <c r="DFH7" s="71"/>
      <c r="DFI7" s="71"/>
      <c r="DFJ7" s="71"/>
      <c r="DFK7" s="71"/>
      <c r="DFL7" s="71"/>
      <c r="DFM7" s="71"/>
      <c r="DFN7" s="71"/>
      <c r="DFO7" s="71"/>
      <c r="DFP7" s="71"/>
      <c r="DFQ7" s="71"/>
      <c r="DFR7" s="71"/>
      <c r="DFS7" s="71"/>
      <c r="DFT7" s="71"/>
      <c r="DFU7" s="71"/>
      <c r="DFV7" s="71"/>
      <c r="DFW7" s="71"/>
      <c r="DFX7" s="71"/>
      <c r="DFY7" s="71"/>
      <c r="DFZ7" s="71"/>
      <c r="DGA7" s="71"/>
      <c r="DGB7" s="71"/>
      <c r="DGC7" s="71"/>
      <c r="DGD7" s="71"/>
      <c r="DGE7" s="71"/>
      <c r="DGF7" s="71"/>
      <c r="DGG7" s="71"/>
      <c r="DGH7" s="71"/>
      <c r="DGI7" s="71"/>
      <c r="DGJ7" s="71"/>
      <c r="DGK7" s="71"/>
      <c r="DGL7" s="71"/>
      <c r="DGM7" s="71"/>
      <c r="DGN7" s="71"/>
      <c r="DGO7" s="71"/>
      <c r="DGP7" s="71"/>
      <c r="DGQ7" s="71"/>
      <c r="DGR7" s="71"/>
      <c r="DGS7" s="71"/>
      <c r="DGT7" s="71"/>
      <c r="DGU7" s="71"/>
      <c r="DGV7" s="71"/>
      <c r="DGW7" s="71"/>
      <c r="DGX7" s="71"/>
      <c r="DGY7" s="71"/>
      <c r="DGZ7" s="71"/>
      <c r="DHA7" s="71"/>
      <c r="DHB7" s="71"/>
      <c r="DHC7" s="71"/>
      <c r="DHD7" s="71"/>
      <c r="DHE7" s="71"/>
      <c r="DHF7" s="71"/>
      <c r="DHG7" s="71"/>
      <c r="DHH7" s="71"/>
      <c r="DHI7" s="71"/>
      <c r="DHJ7" s="71"/>
      <c r="DHK7" s="71"/>
      <c r="DHL7" s="71"/>
      <c r="DHM7" s="71"/>
      <c r="DHN7" s="71"/>
      <c r="DHO7" s="71"/>
      <c r="DHP7" s="71"/>
      <c r="DHQ7" s="71"/>
      <c r="DHR7" s="71"/>
      <c r="DHS7" s="71"/>
      <c r="DHT7" s="71"/>
      <c r="DHU7" s="71"/>
      <c r="DHV7" s="71"/>
      <c r="DHW7" s="71"/>
      <c r="DHX7" s="71"/>
      <c r="DHY7" s="71"/>
      <c r="DHZ7" s="71"/>
      <c r="DIA7" s="71"/>
      <c r="DIB7" s="71"/>
      <c r="DIC7" s="71"/>
      <c r="DID7" s="71"/>
      <c r="DIE7" s="71"/>
      <c r="DIF7" s="71"/>
      <c r="DIG7" s="71"/>
      <c r="DIH7" s="71"/>
      <c r="DII7" s="71"/>
      <c r="DIJ7" s="71"/>
      <c r="DIK7" s="71"/>
      <c r="DIL7" s="71"/>
      <c r="DIM7" s="71"/>
      <c r="DIN7" s="71"/>
      <c r="DIO7" s="71"/>
      <c r="DIP7" s="71"/>
      <c r="DIQ7" s="71"/>
      <c r="DIR7" s="71"/>
      <c r="DIS7" s="71"/>
      <c r="DIT7" s="71"/>
      <c r="DIU7" s="71"/>
      <c r="DIV7" s="71"/>
      <c r="DIW7" s="71"/>
      <c r="DIX7" s="71"/>
      <c r="DIY7" s="71"/>
      <c r="DIZ7" s="71"/>
      <c r="DJA7" s="71"/>
      <c r="DJB7" s="71"/>
      <c r="DJC7" s="71"/>
      <c r="DJD7" s="71"/>
      <c r="DJE7" s="71"/>
      <c r="DJF7" s="71"/>
      <c r="DJG7" s="71"/>
      <c r="DJH7" s="71"/>
      <c r="DJI7" s="71"/>
      <c r="DJJ7" s="71"/>
      <c r="DJK7" s="71"/>
      <c r="DJL7" s="71"/>
      <c r="DJM7" s="71"/>
      <c r="DJN7" s="71"/>
      <c r="DJO7" s="71"/>
      <c r="DJP7" s="71"/>
      <c r="DJQ7" s="71"/>
      <c r="DJR7" s="71"/>
      <c r="DJS7" s="71"/>
      <c r="DJT7" s="71"/>
      <c r="DJU7" s="71"/>
      <c r="DJV7" s="71"/>
      <c r="DJW7" s="71"/>
      <c r="DJX7" s="71"/>
      <c r="DJY7" s="71"/>
      <c r="DJZ7" s="71"/>
      <c r="DKA7" s="71"/>
      <c r="DKB7" s="71"/>
      <c r="DKC7" s="71"/>
      <c r="DKD7" s="71"/>
      <c r="DKE7" s="71"/>
      <c r="DKF7" s="71"/>
      <c r="DKG7" s="71"/>
      <c r="DKH7" s="71"/>
      <c r="DKI7" s="71"/>
      <c r="DKJ7" s="71"/>
      <c r="DKK7" s="71"/>
      <c r="DKL7" s="71"/>
      <c r="DKM7" s="71"/>
      <c r="DKN7" s="71"/>
      <c r="DKO7" s="71"/>
      <c r="DKP7" s="71"/>
      <c r="DKQ7" s="71"/>
      <c r="DKR7" s="71"/>
      <c r="DKS7" s="71"/>
      <c r="DKT7" s="71"/>
      <c r="DKU7" s="71"/>
      <c r="DKV7" s="71"/>
      <c r="DKW7" s="71"/>
      <c r="DKX7" s="71"/>
      <c r="DKY7" s="71"/>
      <c r="DKZ7" s="71"/>
      <c r="DLA7" s="71"/>
      <c r="DLB7" s="71"/>
      <c r="DLC7" s="71"/>
      <c r="DLD7" s="71"/>
      <c r="DLE7" s="71"/>
      <c r="DLF7" s="71"/>
      <c r="DLG7" s="71"/>
      <c r="DLH7" s="71"/>
      <c r="DLI7" s="71"/>
      <c r="DLJ7" s="71"/>
      <c r="DLK7" s="71"/>
      <c r="DLL7" s="71"/>
      <c r="DLM7" s="71"/>
      <c r="DLN7" s="71"/>
      <c r="DLO7" s="71"/>
      <c r="DLP7" s="71"/>
      <c r="DLQ7" s="71"/>
      <c r="DLR7" s="71"/>
      <c r="DLS7" s="71"/>
      <c r="DLT7" s="71"/>
      <c r="DLU7" s="71"/>
      <c r="DLV7" s="71"/>
      <c r="DLW7" s="71"/>
      <c r="DLX7" s="71"/>
      <c r="DLY7" s="71"/>
      <c r="DLZ7" s="71"/>
      <c r="DMA7" s="71"/>
      <c r="DMB7" s="71"/>
      <c r="DMC7" s="71"/>
      <c r="DMD7" s="71"/>
      <c r="DME7" s="71"/>
      <c r="DMF7" s="71"/>
      <c r="DMG7" s="71"/>
      <c r="DMH7" s="71"/>
      <c r="DMI7" s="71"/>
      <c r="DMJ7" s="71"/>
      <c r="DMK7" s="71"/>
      <c r="DML7" s="71"/>
      <c r="DMM7" s="71"/>
      <c r="DMN7" s="71"/>
      <c r="DMO7" s="71"/>
      <c r="DMP7" s="71"/>
      <c r="DMQ7" s="71"/>
      <c r="DMR7" s="71"/>
      <c r="DMS7" s="71"/>
      <c r="DMT7" s="71"/>
      <c r="DMU7" s="71"/>
      <c r="DMV7" s="71"/>
      <c r="DMW7" s="71"/>
      <c r="DMX7" s="71"/>
      <c r="DMY7" s="71"/>
      <c r="DMZ7" s="71"/>
      <c r="DNA7" s="71"/>
      <c r="DNB7" s="71"/>
      <c r="DNC7" s="71"/>
      <c r="DND7" s="71"/>
      <c r="DNE7" s="71"/>
      <c r="DNF7" s="71"/>
      <c r="DNG7" s="71"/>
      <c r="DNH7" s="71"/>
      <c r="DNI7" s="71"/>
      <c r="DNJ7" s="71"/>
      <c r="DNK7" s="71"/>
      <c r="DNL7" s="71"/>
      <c r="DNM7" s="71"/>
      <c r="DNN7" s="71"/>
      <c r="DNO7" s="71"/>
      <c r="DNP7" s="71"/>
      <c r="DNQ7" s="71"/>
      <c r="DNR7" s="71"/>
      <c r="DNS7" s="71"/>
      <c r="DNT7" s="71"/>
      <c r="DNU7" s="71"/>
      <c r="DNV7" s="71"/>
      <c r="DNW7" s="71"/>
      <c r="DNX7" s="71"/>
      <c r="DNY7" s="71"/>
      <c r="DNZ7" s="71"/>
      <c r="DOA7" s="71"/>
      <c r="DOB7" s="71"/>
      <c r="DOC7" s="71"/>
      <c r="DOD7" s="71"/>
      <c r="DOE7" s="71"/>
      <c r="DOF7" s="71"/>
      <c r="DOG7" s="71"/>
      <c r="DOH7" s="71"/>
      <c r="DOI7" s="71"/>
      <c r="DOJ7" s="71"/>
      <c r="DOK7" s="71"/>
      <c r="DOL7" s="71"/>
      <c r="DOM7" s="71"/>
      <c r="DON7" s="71"/>
      <c r="DOO7" s="71"/>
      <c r="DOP7" s="71"/>
      <c r="DOQ7" s="71"/>
      <c r="DOR7" s="71"/>
      <c r="DOS7" s="71"/>
      <c r="DOT7" s="71"/>
      <c r="DOU7" s="71"/>
      <c r="DOV7" s="71"/>
      <c r="DOW7" s="71"/>
      <c r="DOX7" s="71"/>
      <c r="DOY7" s="71"/>
      <c r="DOZ7" s="71"/>
      <c r="DPA7" s="71"/>
      <c r="DPB7" s="71"/>
      <c r="DPC7" s="71"/>
      <c r="DPD7" s="71"/>
      <c r="DPE7" s="71"/>
      <c r="DPF7" s="71"/>
      <c r="DPG7" s="71"/>
      <c r="DPH7" s="71"/>
      <c r="DPI7" s="71"/>
      <c r="DPJ7" s="71"/>
      <c r="DPK7" s="71"/>
      <c r="DPL7" s="71"/>
      <c r="DPM7" s="71"/>
      <c r="DPN7" s="71"/>
      <c r="DPO7" s="71"/>
      <c r="DPP7" s="71"/>
      <c r="DPQ7" s="71"/>
      <c r="DPR7" s="71"/>
      <c r="DPS7" s="71"/>
      <c r="DPT7" s="71"/>
      <c r="DPU7" s="71"/>
      <c r="DPV7" s="71"/>
      <c r="DPW7" s="71"/>
      <c r="DPX7" s="71"/>
      <c r="DPY7" s="71"/>
      <c r="DPZ7" s="71"/>
      <c r="DQA7" s="71"/>
      <c r="DQB7" s="71"/>
      <c r="DQC7" s="71"/>
      <c r="DQD7" s="71"/>
      <c r="DQE7" s="71"/>
      <c r="DQF7" s="71"/>
      <c r="DQG7" s="71"/>
      <c r="DQH7" s="71"/>
      <c r="DQI7" s="71"/>
      <c r="DQJ7" s="71"/>
      <c r="DQK7" s="71"/>
      <c r="DQL7" s="71"/>
      <c r="DQM7" s="71"/>
      <c r="DQN7" s="71"/>
      <c r="DQO7" s="71"/>
      <c r="DQP7" s="71"/>
      <c r="DQQ7" s="71"/>
      <c r="DQR7" s="71"/>
      <c r="DQS7" s="71"/>
      <c r="DQT7" s="71"/>
      <c r="DQU7" s="71"/>
      <c r="DQV7" s="71"/>
      <c r="DQW7" s="71"/>
      <c r="DQX7" s="71"/>
      <c r="DQY7" s="71"/>
      <c r="DQZ7" s="71"/>
      <c r="DRA7" s="71"/>
      <c r="DRB7" s="71"/>
      <c r="DRC7" s="71"/>
      <c r="DRD7" s="71"/>
      <c r="DRE7" s="71"/>
      <c r="DRF7" s="71"/>
      <c r="DRG7" s="71"/>
      <c r="DRH7" s="71"/>
      <c r="DRI7" s="71"/>
      <c r="DRJ7" s="71"/>
      <c r="DRK7" s="71"/>
      <c r="DRL7" s="71"/>
      <c r="DRM7" s="71"/>
      <c r="DRN7" s="71"/>
      <c r="DRO7" s="71"/>
      <c r="DRP7" s="71"/>
      <c r="DRQ7" s="71"/>
      <c r="DRR7" s="71"/>
      <c r="DRS7" s="71"/>
      <c r="DRT7" s="71"/>
      <c r="DRU7" s="71"/>
      <c r="DRV7" s="71"/>
      <c r="DRW7" s="71"/>
      <c r="DRX7" s="71"/>
      <c r="DRY7" s="71"/>
      <c r="DRZ7" s="71"/>
      <c r="DSA7" s="71"/>
      <c r="DSB7" s="71"/>
      <c r="DSC7" s="71"/>
      <c r="DSD7" s="71"/>
      <c r="DSE7" s="71"/>
      <c r="DSF7" s="71"/>
      <c r="DSG7" s="71"/>
      <c r="DSH7" s="71"/>
      <c r="DSI7" s="71"/>
      <c r="DSJ7" s="71"/>
      <c r="DSK7" s="71"/>
      <c r="DSL7" s="71"/>
      <c r="DSM7" s="71"/>
      <c r="DSN7" s="71"/>
      <c r="DSO7" s="71"/>
      <c r="DSP7" s="71"/>
      <c r="DSQ7" s="71"/>
      <c r="DSR7" s="71"/>
      <c r="DSS7" s="71"/>
      <c r="DST7" s="71"/>
      <c r="DSU7" s="71"/>
      <c r="DSV7" s="71"/>
      <c r="DSW7" s="71"/>
      <c r="DSX7" s="71"/>
      <c r="DSY7" s="71"/>
      <c r="DSZ7" s="71"/>
      <c r="DTA7" s="71"/>
      <c r="DTB7" s="71"/>
      <c r="DTC7" s="71"/>
      <c r="DTD7" s="71"/>
      <c r="DTE7" s="71"/>
      <c r="DTF7" s="71"/>
      <c r="DTG7" s="71"/>
      <c r="DTH7" s="71"/>
      <c r="DTI7" s="71"/>
      <c r="DTJ7" s="71"/>
      <c r="DTK7" s="71"/>
      <c r="DTL7" s="71"/>
      <c r="DTM7" s="71"/>
      <c r="DTN7" s="71"/>
      <c r="DTO7" s="71"/>
      <c r="DTP7" s="71"/>
      <c r="DTQ7" s="71"/>
      <c r="DTR7" s="71"/>
      <c r="DTS7" s="71"/>
      <c r="DTT7" s="71"/>
      <c r="DTU7" s="71"/>
      <c r="DTV7" s="71"/>
      <c r="DTW7" s="71"/>
      <c r="DTX7" s="71"/>
      <c r="DTY7" s="71"/>
      <c r="DTZ7" s="71"/>
      <c r="DUA7" s="71"/>
      <c r="DUB7" s="71"/>
      <c r="DUC7" s="71"/>
      <c r="DUD7" s="71"/>
      <c r="DUE7" s="71"/>
      <c r="DUF7" s="71"/>
      <c r="DUG7" s="71"/>
      <c r="DUH7" s="71"/>
      <c r="DUI7" s="71"/>
      <c r="DUJ7" s="71"/>
      <c r="DUK7" s="71"/>
      <c r="DUL7" s="71"/>
      <c r="DUM7" s="71"/>
      <c r="DUN7" s="71"/>
      <c r="DUO7" s="71"/>
      <c r="DUP7" s="71"/>
      <c r="DUQ7" s="71"/>
      <c r="DUR7" s="71"/>
      <c r="DUS7" s="71"/>
      <c r="DUT7" s="71"/>
      <c r="DUU7" s="71"/>
      <c r="DUV7" s="71"/>
      <c r="DUW7" s="71"/>
      <c r="DUX7" s="71"/>
      <c r="DUY7" s="71"/>
      <c r="DUZ7" s="71"/>
      <c r="DVA7" s="71"/>
      <c r="DVB7" s="71"/>
      <c r="DVC7" s="71"/>
      <c r="DVD7" s="71"/>
      <c r="DVE7" s="71"/>
      <c r="DVF7" s="71"/>
      <c r="DVG7" s="71"/>
      <c r="DVH7" s="71"/>
      <c r="DVI7" s="71"/>
      <c r="DVJ7" s="71"/>
      <c r="DVK7" s="71"/>
      <c r="DVL7" s="71"/>
      <c r="DVM7" s="71"/>
      <c r="DVN7" s="71"/>
      <c r="DVO7" s="71"/>
      <c r="DVP7" s="71"/>
      <c r="DVQ7" s="71"/>
      <c r="DVR7" s="71"/>
      <c r="DVS7" s="71"/>
      <c r="DVT7" s="71"/>
      <c r="DVU7" s="71"/>
      <c r="DVV7" s="71"/>
      <c r="DVW7" s="71"/>
      <c r="DVX7" s="71"/>
      <c r="DVY7" s="71"/>
      <c r="DVZ7" s="71"/>
      <c r="DWA7" s="71"/>
      <c r="DWB7" s="71"/>
      <c r="DWC7" s="71"/>
      <c r="DWD7" s="71"/>
      <c r="DWE7" s="71"/>
      <c r="DWF7" s="71"/>
      <c r="DWG7" s="71"/>
      <c r="DWH7" s="71"/>
      <c r="DWI7" s="71"/>
      <c r="DWJ7" s="71"/>
      <c r="DWK7" s="71"/>
      <c r="DWL7" s="71"/>
      <c r="DWM7" s="71"/>
      <c r="DWN7" s="71"/>
      <c r="DWO7" s="71"/>
      <c r="DWP7" s="71"/>
      <c r="DWQ7" s="71"/>
      <c r="DWR7" s="71"/>
      <c r="DWS7" s="71"/>
      <c r="DWT7" s="71"/>
      <c r="DWU7" s="71"/>
      <c r="DWV7" s="71"/>
      <c r="DWW7" s="71"/>
      <c r="DWX7" s="71"/>
      <c r="DWY7" s="71"/>
      <c r="DWZ7" s="71"/>
      <c r="DXA7" s="71"/>
      <c r="DXB7" s="71"/>
      <c r="DXC7" s="71"/>
      <c r="DXD7" s="71"/>
      <c r="DXE7" s="71"/>
      <c r="DXF7" s="71"/>
      <c r="DXG7" s="71"/>
      <c r="DXH7" s="71"/>
      <c r="DXI7" s="71"/>
      <c r="DXJ7" s="71"/>
      <c r="DXK7" s="71"/>
      <c r="DXL7" s="71"/>
      <c r="DXM7" s="71"/>
      <c r="DXN7" s="71"/>
      <c r="DXO7" s="71"/>
      <c r="DXP7" s="71"/>
      <c r="DXQ7" s="71"/>
      <c r="DXR7" s="71"/>
      <c r="DXS7" s="71"/>
      <c r="DXT7" s="71"/>
      <c r="DXU7" s="71"/>
      <c r="DXV7" s="71"/>
      <c r="DXW7" s="71"/>
      <c r="DXX7" s="71"/>
      <c r="DXY7" s="71"/>
      <c r="DXZ7" s="71"/>
      <c r="DYA7" s="71"/>
      <c r="DYB7" s="71"/>
      <c r="DYC7" s="71"/>
      <c r="DYD7" s="71"/>
      <c r="DYE7" s="71"/>
      <c r="DYF7" s="71"/>
      <c r="DYG7" s="71"/>
      <c r="DYH7" s="71"/>
      <c r="DYI7" s="71"/>
      <c r="DYJ7" s="71"/>
      <c r="DYK7" s="71"/>
      <c r="DYL7" s="71"/>
      <c r="DYM7" s="71"/>
      <c r="DYN7" s="71"/>
      <c r="DYO7" s="71"/>
      <c r="DYP7" s="71"/>
      <c r="DYQ7" s="71"/>
      <c r="DYR7" s="71"/>
      <c r="DYS7" s="71"/>
      <c r="DYT7" s="71"/>
      <c r="DYU7" s="71"/>
      <c r="DYV7" s="71"/>
      <c r="DYW7" s="71"/>
      <c r="DYX7" s="71"/>
      <c r="DYY7" s="71"/>
      <c r="DYZ7" s="71"/>
      <c r="DZA7" s="71"/>
      <c r="DZB7" s="71"/>
      <c r="DZC7" s="71"/>
      <c r="DZD7" s="71"/>
      <c r="DZE7" s="71"/>
      <c r="DZF7" s="71"/>
      <c r="DZG7" s="71"/>
      <c r="DZH7" s="71"/>
      <c r="DZI7" s="71"/>
      <c r="DZJ7" s="71"/>
      <c r="DZK7" s="71"/>
      <c r="DZL7" s="71"/>
      <c r="DZM7" s="71"/>
      <c r="DZN7" s="71"/>
      <c r="DZO7" s="71"/>
      <c r="DZP7" s="71"/>
      <c r="DZQ7" s="71"/>
      <c r="DZR7" s="71"/>
      <c r="DZS7" s="71"/>
      <c r="DZT7" s="71"/>
      <c r="DZU7" s="71"/>
      <c r="DZV7" s="71"/>
      <c r="DZW7" s="71"/>
      <c r="DZX7" s="71"/>
      <c r="DZY7" s="71"/>
      <c r="DZZ7" s="71"/>
      <c r="EAA7" s="71"/>
      <c r="EAB7" s="71"/>
      <c r="EAC7" s="71"/>
      <c r="EAD7" s="71"/>
      <c r="EAE7" s="71"/>
      <c r="EAF7" s="71"/>
      <c r="EAG7" s="71"/>
      <c r="EAH7" s="71"/>
      <c r="EAI7" s="71"/>
      <c r="EAJ7" s="71"/>
      <c r="EAK7" s="71"/>
      <c r="EAL7" s="71"/>
      <c r="EAM7" s="71"/>
      <c r="EAN7" s="71"/>
      <c r="EAO7" s="71"/>
      <c r="EAP7" s="71"/>
      <c r="EAQ7" s="71"/>
      <c r="EAR7" s="71"/>
      <c r="EAS7" s="71"/>
      <c r="EAT7" s="71"/>
      <c r="EAU7" s="71"/>
      <c r="EAV7" s="71"/>
      <c r="EAW7" s="71"/>
      <c r="EAX7" s="71"/>
      <c r="EAY7" s="71"/>
      <c r="EAZ7" s="71"/>
      <c r="EBA7" s="71"/>
      <c r="EBB7" s="71"/>
      <c r="EBC7" s="71"/>
      <c r="EBD7" s="71"/>
      <c r="EBE7" s="71"/>
      <c r="EBF7" s="71"/>
      <c r="EBG7" s="71"/>
      <c r="EBH7" s="71"/>
      <c r="EBI7" s="71"/>
      <c r="EBJ7" s="71"/>
      <c r="EBK7" s="71"/>
      <c r="EBL7" s="71"/>
      <c r="EBM7" s="71"/>
      <c r="EBN7" s="71"/>
      <c r="EBO7" s="71"/>
      <c r="EBP7" s="71"/>
      <c r="EBQ7" s="71"/>
      <c r="EBR7" s="71"/>
      <c r="EBS7" s="71"/>
      <c r="EBT7" s="71"/>
      <c r="EBU7" s="71"/>
      <c r="EBV7" s="71"/>
      <c r="EBW7" s="71"/>
      <c r="EBX7" s="71"/>
      <c r="EBY7" s="71"/>
      <c r="EBZ7" s="71"/>
      <c r="ECA7" s="71"/>
      <c r="ECB7" s="71"/>
      <c r="ECC7" s="71"/>
      <c r="ECD7" s="71"/>
      <c r="ECE7" s="71"/>
      <c r="ECF7" s="71"/>
      <c r="ECG7" s="71"/>
      <c r="ECH7" s="71"/>
      <c r="ECI7" s="71"/>
      <c r="ECJ7" s="71"/>
      <c r="ECK7" s="71"/>
      <c r="ECL7" s="71"/>
      <c r="ECM7" s="71"/>
      <c r="ECN7" s="71"/>
      <c r="ECO7" s="71"/>
      <c r="ECP7" s="71"/>
      <c r="ECQ7" s="71"/>
      <c r="ECR7" s="71"/>
      <c r="ECS7" s="71"/>
      <c r="ECT7" s="71"/>
      <c r="ECU7" s="71"/>
      <c r="ECV7" s="71"/>
      <c r="ECW7" s="71"/>
      <c r="ECX7" s="71"/>
      <c r="ECY7" s="71"/>
      <c r="ECZ7" s="71"/>
      <c r="EDA7" s="71"/>
      <c r="EDB7" s="71"/>
      <c r="EDC7" s="71"/>
      <c r="EDD7" s="71"/>
      <c r="EDE7" s="71"/>
      <c r="EDF7" s="71"/>
      <c r="EDG7" s="71"/>
      <c r="EDH7" s="71"/>
      <c r="EDI7" s="71"/>
      <c r="EDJ7" s="71"/>
      <c r="EDK7" s="71"/>
      <c r="EDL7" s="71"/>
      <c r="EDM7" s="71"/>
      <c r="EDN7" s="71"/>
      <c r="EDO7" s="71"/>
      <c r="EDP7" s="71"/>
      <c r="EDQ7" s="71"/>
      <c r="EDR7" s="71"/>
      <c r="EDS7" s="71"/>
      <c r="EDT7" s="71"/>
      <c r="EDU7" s="71"/>
      <c r="EDV7" s="71"/>
      <c r="EDW7" s="71"/>
      <c r="EDX7" s="71"/>
      <c r="EDY7" s="71"/>
      <c r="EDZ7" s="71"/>
      <c r="EEA7" s="71"/>
      <c r="EEB7" s="71"/>
      <c r="EEC7" s="71"/>
      <c r="EED7" s="71"/>
      <c r="EEE7" s="71"/>
      <c r="EEF7" s="71"/>
      <c r="EEG7" s="71"/>
      <c r="EEH7" s="71"/>
      <c r="EEI7" s="71"/>
      <c r="EEJ7" s="71"/>
      <c r="EEK7" s="71"/>
      <c r="EEL7" s="71"/>
      <c r="EEM7" s="71"/>
      <c r="EEN7" s="71"/>
      <c r="EEO7" s="71"/>
      <c r="EEP7" s="71"/>
      <c r="EEQ7" s="71"/>
      <c r="EER7" s="71"/>
      <c r="EES7" s="71"/>
      <c r="EET7" s="71"/>
      <c r="EEU7" s="71"/>
      <c r="EEV7" s="71"/>
      <c r="EEW7" s="71"/>
      <c r="EEX7" s="71"/>
      <c r="EEY7" s="71"/>
      <c r="EEZ7" s="71"/>
      <c r="EFA7" s="71"/>
      <c r="EFB7" s="71"/>
      <c r="EFC7" s="71"/>
      <c r="EFD7" s="71"/>
      <c r="EFE7" s="71"/>
      <c r="EFF7" s="71"/>
      <c r="EFG7" s="71"/>
      <c r="EFH7" s="71"/>
      <c r="EFI7" s="71"/>
      <c r="EFJ7" s="71"/>
      <c r="EFK7" s="71"/>
      <c r="EFL7" s="71"/>
      <c r="EFM7" s="71"/>
      <c r="EFN7" s="71"/>
      <c r="EFO7" s="71"/>
      <c r="EFP7" s="71"/>
      <c r="EFQ7" s="71"/>
      <c r="EFR7" s="71"/>
      <c r="EFS7" s="71"/>
      <c r="EFT7" s="71"/>
      <c r="EFU7" s="71"/>
      <c r="EFV7" s="71"/>
      <c r="EFW7" s="71"/>
      <c r="EFX7" s="71"/>
      <c r="EFY7" s="71"/>
      <c r="EFZ7" s="71"/>
      <c r="EGA7" s="71"/>
      <c r="EGB7" s="71"/>
      <c r="EGC7" s="71"/>
      <c r="EGD7" s="71"/>
      <c r="EGE7" s="71"/>
      <c r="EGF7" s="71"/>
      <c r="EGG7" s="71"/>
      <c r="EGH7" s="71"/>
      <c r="EGI7" s="71"/>
      <c r="EGJ7" s="71"/>
      <c r="EGK7" s="71"/>
      <c r="EGL7" s="71"/>
      <c r="EGM7" s="71"/>
      <c r="EGN7" s="71"/>
      <c r="EGO7" s="71"/>
      <c r="EGP7" s="71"/>
      <c r="EGQ7" s="71"/>
      <c r="EGR7" s="71"/>
      <c r="EGS7" s="71"/>
      <c r="EGT7" s="71"/>
      <c r="EGU7" s="71"/>
      <c r="EGV7" s="71"/>
      <c r="EGW7" s="71"/>
      <c r="EGX7" s="71"/>
      <c r="EGY7" s="71"/>
      <c r="EGZ7" s="71"/>
      <c r="EHA7" s="71"/>
      <c r="EHB7" s="71"/>
      <c r="EHC7" s="71"/>
      <c r="EHD7" s="71"/>
      <c r="EHE7" s="71"/>
      <c r="EHF7" s="71"/>
      <c r="EHG7" s="71"/>
      <c r="EHH7" s="71"/>
      <c r="EHI7" s="71"/>
      <c r="EHJ7" s="71"/>
      <c r="EHK7" s="71"/>
      <c r="EHL7" s="71"/>
      <c r="EHM7" s="71"/>
      <c r="EHN7" s="71"/>
      <c r="EHO7" s="71"/>
      <c r="EHP7" s="71"/>
      <c r="EHQ7" s="71"/>
      <c r="EHR7" s="71"/>
      <c r="EHS7" s="71"/>
      <c r="EHT7" s="71"/>
      <c r="EHU7" s="71"/>
      <c r="EHV7" s="71"/>
      <c r="EHW7" s="71"/>
      <c r="EHX7" s="71"/>
      <c r="EHY7" s="71"/>
      <c r="EHZ7" s="71"/>
      <c r="EIA7" s="71"/>
      <c r="EIB7" s="71"/>
      <c r="EIC7" s="71"/>
      <c r="EID7" s="71"/>
      <c r="EIE7" s="71"/>
      <c r="EIF7" s="71"/>
      <c r="EIG7" s="71"/>
      <c r="EIH7" s="71"/>
      <c r="EII7" s="71"/>
      <c r="EIJ7" s="71"/>
      <c r="EIK7" s="71"/>
      <c r="EIL7" s="71"/>
      <c r="EIM7" s="71"/>
      <c r="EIN7" s="71"/>
      <c r="EIO7" s="71"/>
      <c r="EIP7" s="71"/>
      <c r="EIQ7" s="71"/>
      <c r="EIR7" s="71"/>
      <c r="EIS7" s="71"/>
      <c r="EIT7" s="71"/>
      <c r="EIU7" s="71"/>
      <c r="EIV7" s="71"/>
      <c r="EIW7" s="71"/>
      <c r="EIX7" s="71"/>
      <c r="EIY7" s="71"/>
      <c r="EIZ7" s="71"/>
      <c r="EJA7" s="71"/>
      <c r="EJB7" s="71"/>
      <c r="EJC7" s="71"/>
      <c r="EJD7" s="71"/>
      <c r="EJE7" s="71"/>
      <c r="EJF7" s="71"/>
      <c r="EJG7" s="71"/>
      <c r="EJH7" s="71"/>
      <c r="EJI7" s="71"/>
      <c r="EJJ7" s="71"/>
      <c r="EJK7" s="71"/>
      <c r="EJL7" s="71"/>
      <c r="EJM7" s="71"/>
      <c r="EJN7" s="71"/>
      <c r="EJO7" s="71"/>
      <c r="EJP7" s="71"/>
      <c r="EJQ7" s="71"/>
      <c r="EJR7" s="71"/>
      <c r="EJS7" s="71"/>
      <c r="EJT7" s="71"/>
      <c r="EJU7" s="71"/>
      <c r="EJV7" s="71"/>
      <c r="EJW7" s="71"/>
      <c r="EJX7" s="71"/>
      <c r="EJY7" s="71"/>
      <c r="EJZ7" s="71"/>
      <c r="EKA7" s="71"/>
      <c r="EKB7" s="71"/>
      <c r="EKC7" s="71"/>
      <c r="EKD7" s="71"/>
      <c r="EKE7" s="71"/>
      <c r="EKF7" s="71"/>
      <c r="EKG7" s="71"/>
      <c r="EKH7" s="71"/>
      <c r="EKI7" s="71"/>
      <c r="EKJ7" s="71"/>
      <c r="EKK7" s="71"/>
      <c r="EKL7" s="71"/>
      <c r="EKM7" s="71"/>
      <c r="EKN7" s="71"/>
      <c r="EKO7" s="71"/>
      <c r="EKP7" s="71"/>
      <c r="EKQ7" s="71"/>
      <c r="EKR7" s="71"/>
      <c r="EKS7" s="71"/>
      <c r="EKT7" s="71"/>
      <c r="EKU7" s="71"/>
      <c r="EKV7" s="71"/>
      <c r="EKW7" s="71"/>
      <c r="EKX7" s="71"/>
      <c r="EKY7" s="71"/>
      <c r="EKZ7" s="71"/>
      <c r="ELA7" s="71"/>
      <c r="ELB7" s="71"/>
      <c r="ELC7" s="71"/>
      <c r="ELD7" s="71"/>
      <c r="ELE7" s="71"/>
      <c r="ELF7" s="71"/>
      <c r="ELG7" s="71"/>
      <c r="ELH7" s="71"/>
      <c r="ELI7" s="71"/>
      <c r="ELJ7" s="71"/>
      <c r="ELK7" s="71"/>
      <c r="ELL7" s="71"/>
      <c r="ELM7" s="71"/>
      <c r="ELN7" s="71"/>
      <c r="ELO7" s="71"/>
      <c r="ELP7" s="71"/>
      <c r="ELQ7" s="71"/>
      <c r="ELR7" s="71"/>
      <c r="ELS7" s="71"/>
      <c r="ELT7" s="71"/>
      <c r="ELU7" s="71"/>
      <c r="ELV7" s="71"/>
      <c r="ELW7" s="71"/>
      <c r="ELX7" s="71"/>
      <c r="ELY7" s="71"/>
      <c r="ELZ7" s="71"/>
      <c r="EMA7" s="71"/>
      <c r="EMB7" s="71"/>
      <c r="EMC7" s="71"/>
      <c r="EMD7" s="71"/>
      <c r="EME7" s="71"/>
      <c r="EMF7" s="71"/>
      <c r="EMG7" s="71"/>
      <c r="EMH7" s="71"/>
      <c r="EMI7" s="71"/>
      <c r="EMJ7" s="71"/>
      <c r="EMK7" s="71"/>
      <c r="EML7" s="71"/>
      <c r="EMM7" s="71"/>
      <c r="EMN7" s="71"/>
      <c r="EMO7" s="71"/>
      <c r="EMP7" s="71"/>
      <c r="EMQ7" s="71"/>
      <c r="EMR7" s="71"/>
      <c r="EMS7" s="71"/>
      <c r="EMT7" s="71"/>
      <c r="EMU7" s="71"/>
      <c r="EMV7" s="71"/>
      <c r="EMW7" s="71"/>
      <c r="EMX7" s="71"/>
      <c r="EMY7" s="71"/>
      <c r="EMZ7" s="71"/>
      <c r="ENA7" s="71"/>
      <c r="ENB7" s="71"/>
      <c r="ENC7" s="71"/>
      <c r="END7" s="71"/>
      <c r="ENE7" s="71"/>
      <c r="ENF7" s="71"/>
      <c r="ENG7" s="71"/>
      <c r="ENH7" s="71"/>
      <c r="ENI7" s="71"/>
      <c r="ENJ7" s="71"/>
      <c r="ENK7" s="71"/>
      <c r="ENL7" s="71"/>
      <c r="ENM7" s="71"/>
      <c r="ENN7" s="71"/>
      <c r="ENO7" s="71"/>
      <c r="ENP7" s="71"/>
      <c r="ENQ7" s="71"/>
      <c r="ENR7" s="71"/>
      <c r="ENS7" s="71"/>
      <c r="ENT7" s="71"/>
      <c r="ENU7" s="71"/>
      <c r="ENV7" s="71"/>
      <c r="ENW7" s="71"/>
      <c r="ENX7" s="71"/>
      <c r="ENY7" s="71"/>
      <c r="ENZ7" s="71"/>
      <c r="EOA7" s="71"/>
      <c r="EOB7" s="71"/>
      <c r="EOC7" s="71"/>
      <c r="EOD7" s="71"/>
      <c r="EOE7" s="71"/>
      <c r="EOF7" s="71"/>
      <c r="EOG7" s="71"/>
      <c r="EOH7" s="71"/>
      <c r="EOI7" s="71"/>
      <c r="EOJ7" s="71"/>
      <c r="EOK7" s="71"/>
      <c r="EOL7" s="71"/>
      <c r="EOM7" s="71"/>
      <c r="EON7" s="71"/>
      <c r="EOO7" s="71"/>
      <c r="EOP7" s="71"/>
      <c r="EOQ7" s="71"/>
      <c r="EOR7" s="71"/>
      <c r="EOS7" s="71"/>
      <c r="EOT7" s="71"/>
      <c r="EOU7" s="71"/>
      <c r="EOV7" s="71"/>
      <c r="EOW7" s="71"/>
      <c r="EOX7" s="71"/>
      <c r="EOY7" s="71"/>
      <c r="EOZ7" s="71"/>
      <c r="EPA7" s="71"/>
      <c r="EPB7" s="71"/>
      <c r="EPC7" s="71"/>
      <c r="EPD7" s="71"/>
      <c r="EPE7" s="71"/>
      <c r="EPF7" s="71"/>
      <c r="EPG7" s="71"/>
      <c r="EPH7" s="71"/>
      <c r="EPI7" s="71"/>
      <c r="EPJ7" s="71"/>
      <c r="EPK7" s="71"/>
      <c r="EPL7" s="71"/>
      <c r="EPM7" s="71"/>
      <c r="EPN7" s="71"/>
      <c r="EPO7" s="71"/>
      <c r="EPP7" s="71"/>
      <c r="EPQ7" s="71"/>
      <c r="EPR7" s="71"/>
      <c r="EPS7" s="71"/>
      <c r="EPT7" s="71"/>
      <c r="EPU7" s="71"/>
      <c r="EPV7" s="71"/>
      <c r="EPW7" s="71"/>
      <c r="EPX7" s="71"/>
      <c r="EPY7" s="71"/>
      <c r="EPZ7" s="71"/>
      <c r="EQA7" s="71"/>
      <c r="EQB7" s="71"/>
      <c r="EQC7" s="71"/>
      <c r="EQD7" s="71"/>
      <c r="EQE7" s="71"/>
      <c r="EQF7" s="71"/>
      <c r="EQG7" s="71"/>
      <c r="EQH7" s="71"/>
      <c r="EQI7" s="71"/>
      <c r="EQJ7" s="71"/>
      <c r="EQK7" s="71"/>
      <c r="EQL7" s="71"/>
      <c r="EQM7" s="71"/>
      <c r="EQN7" s="71"/>
      <c r="EQO7" s="71"/>
      <c r="EQP7" s="71"/>
      <c r="EQQ7" s="71"/>
      <c r="EQR7" s="71"/>
      <c r="EQS7" s="71"/>
      <c r="EQT7" s="71"/>
      <c r="EQU7" s="71"/>
      <c r="EQV7" s="71"/>
      <c r="EQW7" s="71"/>
      <c r="EQX7" s="71"/>
      <c r="EQY7" s="71"/>
      <c r="EQZ7" s="71"/>
      <c r="ERA7" s="71"/>
      <c r="ERB7" s="71"/>
      <c r="ERC7" s="71"/>
      <c r="ERD7" s="71"/>
      <c r="ERE7" s="71"/>
      <c r="ERF7" s="71"/>
      <c r="ERG7" s="71"/>
      <c r="ERH7" s="71"/>
      <c r="ERI7" s="71"/>
      <c r="ERJ7" s="71"/>
      <c r="ERK7" s="71"/>
      <c r="ERL7" s="71"/>
      <c r="ERM7" s="71"/>
      <c r="ERN7" s="71"/>
      <c r="ERO7" s="71"/>
      <c r="ERP7" s="71"/>
      <c r="ERQ7" s="71"/>
      <c r="ERR7" s="71"/>
      <c r="ERS7" s="71"/>
      <c r="ERT7" s="71"/>
      <c r="ERU7" s="71"/>
      <c r="ERV7" s="71"/>
      <c r="ERW7" s="71"/>
      <c r="ERX7" s="71"/>
      <c r="ERY7" s="71"/>
      <c r="ERZ7" s="71"/>
      <c r="ESA7" s="71"/>
      <c r="ESB7" s="71"/>
      <c r="ESC7" s="71"/>
      <c r="ESD7" s="71"/>
      <c r="ESE7" s="71"/>
      <c r="ESF7" s="71"/>
      <c r="ESG7" s="71"/>
      <c r="ESH7" s="71"/>
      <c r="ESI7" s="71"/>
      <c r="ESJ7" s="71"/>
      <c r="ESK7" s="71"/>
      <c r="ESL7" s="71"/>
      <c r="ESM7" s="71"/>
      <c r="ESN7" s="71"/>
      <c r="ESO7" s="71"/>
      <c r="ESP7" s="71"/>
      <c r="ESQ7" s="71"/>
      <c r="ESR7" s="71"/>
      <c r="ESS7" s="71"/>
      <c r="EST7" s="71"/>
      <c r="ESU7" s="71"/>
      <c r="ESV7" s="71"/>
      <c r="ESW7" s="71"/>
      <c r="ESX7" s="71"/>
      <c r="ESY7" s="71"/>
      <c r="ESZ7" s="71"/>
      <c r="ETA7" s="71"/>
      <c r="ETB7" s="71"/>
      <c r="ETC7" s="71"/>
      <c r="ETD7" s="71"/>
      <c r="ETE7" s="71"/>
      <c r="ETF7" s="71"/>
      <c r="ETG7" s="71"/>
      <c r="ETH7" s="71"/>
      <c r="ETI7" s="71"/>
      <c r="ETJ7" s="71"/>
      <c r="ETK7" s="71"/>
      <c r="ETL7" s="71"/>
      <c r="ETM7" s="71"/>
      <c r="ETN7" s="71"/>
      <c r="ETO7" s="71"/>
      <c r="ETP7" s="71"/>
      <c r="ETQ7" s="71"/>
      <c r="ETR7" s="71"/>
      <c r="ETS7" s="71"/>
      <c r="ETT7" s="71"/>
      <c r="ETU7" s="71"/>
      <c r="ETV7" s="71"/>
      <c r="ETW7" s="71"/>
      <c r="ETX7" s="71"/>
      <c r="ETY7" s="71"/>
      <c r="ETZ7" s="71"/>
      <c r="EUA7" s="71"/>
      <c r="EUB7" s="71"/>
      <c r="EUC7" s="71"/>
      <c r="EUD7" s="71"/>
      <c r="EUE7" s="71"/>
      <c r="EUF7" s="71"/>
      <c r="EUG7" s="71"/>
      <c r="EUH7" s="71"/>
      <c r="EUI7" s="71"/>
      <c r="EUJ7" s="71"/>
      <c r="EUK7" s="71"/>
      <c r="EUL7" s="71"/>
      <c r="EUM7" s="71"/>
      <c r="EUN7" s="71"/>
      <c r="EUO7" s="71"/>
      <c r="EUP7" s="71"/>
      <c r="EUQ7" s="71"/>
      <c r="EUR7" s="71"/>
      <c r="EUS7" s="71"/>
      <c r="EUT7" s="71"/>
      <c r="EUU7" s="71"/>
      <c r="EUV7" s="71"/>
      <c r="EUW7" s="71"/>
      <c r="EUX7" s="71"/>
      <c r="EUY7" s="71"/>
      <c r="EUZ7" s="71"/>
      <c r="EVA7" s="71"/>
      <c r="EVB7" s="71"/>
      <c r="EVC7" s="71"/>
      <c r="EVD7" s="71"/>
      <c r="EVE7" s="71"/>
      <c r="EVF7" s="71"/>
      <c r="EVG7" s="71"/>
      <c r="EVH7" s="71"/>
      <c r="EVI7" s="71"/>
      <c r="EVJ7" s="71"/>
      <c r="EVK7" s="71"/>
      <c r="EVL7" s="71"/>
      <c r="EVM7" s="71"/>
      <c r="EVN7" s="71"/>
      <c r="EVO7" s="71"/>
      <c r="EVP7" s="71"/>
      <c r="EVQ7" s="71"/>
      <c r="EVR7" s="71"/>
      <c r="EVS7" s="71"/>
      <c r="EVT7" s="71"/>
      <c r="EVU7" s="71"/>
      <c r="EVV7" s="71"/>
      <c r="EVW7" s="71"/>
      <c r="EVX7" s="71"/>
      <c r="EVY7" s="71"/>
      <c r="EVZ7" s="71"/>
      <c r="EWA7" s="71"/>
      <c r="EWB7" s="71"/>
      <c r="EWC7" s="71"/>
      <c r="EWD7" s="71"/>
      <c r="EWE7" s="71"/>
      <c r="EWF7" s="71"/>
      <c r="EWG7" s="71"/>
      <c r="EWH7" s="71"/>
      <c r="EWI7" s="71"/>
      <c r="EWJ7" s="71"/>
      <c r="EWK7" s="71"/>
      <c r="EWL7" s="71"/>
      <c r="EWM7" s="71"/>
      <c r="EWN7" s="71"/>
      <c r="EWO7" s="71"/>
      <c r="EWP7" s="71"/>
      <c r="EWQ7" s="71"/>
      <c r="EWR7" s="71"/>
      <c r="EWS7" s="71"/>
      <c r="EWT7" s="71"/>
      <c r="EWU7" s="71"/>
      <c r="EWV7" s="71"/>
      <c r="EWW7" s="71"/>
      <c r="EWX7" s="71"/>
      <c r="EWY7" s="71"/>
      <c r="EWZ7" s="71"/>
      <c r="EXA7" s="71"/>
      <c r="EXB7" s="71"/>
      <c r="EXC7" s="71"/>
      <c r="EXD7" s="71"/>
      <c r="EXE7" s="71"/>
      <c r="EXF7" s="71"/>
      <c r="EXG7" s="71"/>
      <c r="EXH7" s="71"/>
      <c r="EXI7" s="71"/>
      <c r="EXJ7" s="71"/>
      <c r="EXK7" s="71"/>
      <c r="EXL7" s="71"/>
      <c r="EXM7" s="71"/>
      <c r="EXN7" s="71"/>
      <c r="EXO7" s="71"/>
      <c r="EXP7" s="71"/>
      <c r="EXQ7" s="71"/>
      <c r="EXR7" s="71"/>
      <c r="EXS7" s="71"/>
      <c r="EXT7" s="71"/>
      <c r="EXU7" s="71"/>
      <c r="EXV7" s="71"/>
      <c r="EXW7" s="71"/>
      <c r="EXX7" s="71"/>
      <c r="EXY7" s="71"/>
      <c r="EXZ7" s="71"/>
      <c r="EYA7" s="71"/>
      <c r="EYB7" s="71"/>
      <c r="EYC7" s="71"/>
      <c r="EYD7" s="71"/>
      <c r="EYE7" s="71"/>
      <c r="EYF7" s="71"/>
      <c r="EYG7" s="71"/>
      <c r="EYH7" s="71"/>
      <c r="EYI7" s="71"/>
      <c r="EYJ7" s="71"/>
      <c r="EYK7" s="71"/>
      <c r="EYL7" s="71"/>
      <c r="EYM7" s="71"/>
      <c r="EYN7" s="71"/>
      <c r="EYO7" s="71"/>
      <c r="EYP7" s="71"/>
      <c r="EYQ7" s="71"/>
      <c r="EYR7" s="71"/>
      <c r="EYS7" s="71"/>
      <c r="EYT7" s="71"/>
      <c r="EYU7" s="71"/>
      <c r="EYV7" s="71"/>
      <c r="EYW7" s="71"/>
      <c r="EYX7" s="71"/>
      <c r="EYY7" s="71"/>
      <c r="EYZ7" s="71"/>
      <c r="EZA7" s="71"/>
      <c r="EZB7" s="71"/>
      <c r="EZC7" s="71"/>
      <c r="EZD7" s="71"/>
      <c r="EZE7" s="71"/>
      <c r="EZF7" s="71"/>
      <c r="EZG7" s="71"/>
      <c r="EZH7" s="71"/>
      <c r="EZI7" s="71"/>
      <c r="EZJ7" s="71"/>
      <c r="EZK7" s="71"/>
      <c r="EZL7" s="71"/>
      <c r="EZM7" s="71"/>
      <c r="EZN7" s="71"/>
      <c r="EZO7" s="71"/>
      <c r="EZP7" s="71"/>
      <c r="EZQ7" s="71"/>
      <c r="EZR7" s="71"/>
      <c r="EZS7" s="71"/>
      <c r="EZT7" s="71"/>
      <c r="EZU7" s="71"/>
      <c r="EZV7" s="71"/>
      <c r="EZW7" s="71"/>
      <c r="EZX7" s="71"/>
      <c r="EZY7" s="71"/>
      <c r="EZZ7" s="71"/>
      <c r="FAA7" s="71"/>
      <c r="FAB7" s="71"/>
      <c r="FAC7" s="71"/>
      <c r="FAD7" s="71"/>
      <c r="FAE7" s="71"/>
      <c r="FAF7" s="71"/>
      <c r="FAG7" s="71"/>
      <c r="FAH7" s="71"/>
      <c r="FAI7" s="71"/>
      <c r="FAJ7" s="71"/>
      <c r="FAK7" s="71"/>
      <c r="FAL7" s="71"/>
      <c r="FAM7" s="71"/>
      <c r="FAN7" s="71"/>
      <c r="FAO7" s="71"/>
      <c r="FAP7" s="71"/>
      <c r="FAQ7" s="71"/>
      <c r="FAR7" s="71"/>
      <c r="FAS7" s="71"/>
      <c r="FAT7" s="71"/>
      <c r="FAU7" s="71"/>
      <c r="FAV7" s="71"/>
      <c r="FAW7" s="71"/>
      <c r="FAX7" s="71"/>
      <c r="FAY7" s="71"/>
      <c r="FAZ7" s="71"/>
      <c r="FBA7" s="71"/>
      <c r="FBB7" s="71"/>
      <c r="FBC7" s="71"/>
      <c r="FBD7" s="71"/>
      <c r="FBE7" s="71"/>
      <c r="FBF7" s="71"/>
      <c r="FBG7" s="71"/>
      <c r="FBH7" s="71"/>
      <c r="FBI7" s="71"/>
      <c r="FBJ7" s="71"/>
      <c r="FBK7" s="71"/>
      <c r="FBL7" s="71"/>
      <c r="FBM7" s="71"/>
      <c r="FBN7" s="71"/>
      <c r="FBO7" s="71"/>
      <c r="FBP7" s="71"/>
      <c r="FBQ7" s="71"/>
      <c r="FBR7" s="71"/>
      <c r="FBS7" s="71"/>
      <c r="FBT7" s="71"/>
      <c r="FBU7" s="71"/>
      <c r="FBV7" s="71"/>
      <c r="FBW7" s="71"/>
      <c r="FBX7" s="71"/>
      <c r="FBY7" s="71"/>
      <c r="FBZ7" s="71"/>
      <c r="FCA7" s="71"/>
      <c r="FCB7" s="71"/>
      <c r="FCC7" s="71"/>
      <c r="FCD7" s="71"/>
      <c r="FCE7" s="71"/>
      <c r="FCF7" s="71"/>
      <c r="FCG7" s="71"/>
      <c r="FCH7" s="71"/>
      <c r="FCI7" s="71"/>
      <c r="FCJ7" s="71"/>
      <c r="FCK7" s="71"/>
      <c r="FCL7" s="71"/>
      <c r="FCM7" s="71"/>
      <c r="FCN7" s="71"/>
      <c r="FCO7" s="71"/>
      <c r="FCP7" s="71"/>
      <c r="FCQ7" s="71"/>
      <c r="FCR7" s="71"/>
      <c r="FCS7" s="71"/>
      <c r="FCT7" s="71"/>
      <c r="FCU7" s="71"/>
      <c r="FCV7" s="71"/>
      <c r="FCW7" s="71"/>
      <c r="FCX7" s="71"/>
      <c r="FCY7" s="71"/>
      <c r="FCZ7" s="71"/>
      <c r="FDA7" s="71"/>
      <c r="FDB7" s="71"/>
      <c r="FDC7" s="71"/>
      <c r="FDD7" s="71"/>
      <c r="FDE7" s="71"/>
      <c r="FDF7" s="71"/>
      <c r="FDG7" s="71"/>
      <c r="FDH7" s="71"/>
      <c r="FDI7" s="71"/>
      <c r="FDJ7" s="71"/>
      <c r="FDK7" s="71"/>
      <c r="FDL7" s="71"/>
      <c r="FDM7" s="71"/>
      <c r="FDN7" s="71"/>
      <c r="FDO7" s="71"/>
      <c r="FDP7" s="71"/>
      <c r="FDQ7" s="71"/>
      <c r="FDR7" s="71"/>
      <c r="FDS7" s="71"/>
      <c r="FDT7" s="71"/>
      <c r="FDU7" s="71"/>
      <c r="FDV7" s="71"/>
      <c r="FDW7" s="71"/>
      <c r="FDX7" s="71"/>
      <c r="FDY7" s="71"/>
      <c r="FDZ7" s="71"/>
      <c r="FEA7" s="71"/>
      <c r="FEB7" s="71"/>
      <c r="FEC7" s="71"/>
      <c r="FED7" s="71"/>
      <c r="FEE7" s="71"/>
      <c r="FEF7" s="71"/>
      <c r="FEG7" s="71"/>
      <c r="FEH7" s="71"/>
      <c r="FEI7" s="71"/>
      <c r="FEJ7" s="71"/>
      <c r="FEK7" s="71"/>
      <c r="FEL7" s="71"/>
      <c r="FEM7" s="71"/>
      <c r="FEN7" s="71"/>
      <c r="FEO7" s="71"/>
      <c r="FEP7" s="71"/>
      <c r="FEQ7" s="71"/>
      <c r="FER7" s="71"/>
      <c r="FES7" s="71"/>
      <c r="FET7" s="71"/>
      <c r="FEU7" s="71"/>
      <c r="FEV7" s="71"/>
      <c r="FEW7" s="71"/>
      <c r="FEX7" s="71"/>
      <c r="FEY7" s="71"/>
      <c r="FEZ7" s="71"/>
      <c r="FFA7" s="71"/>
      <c r="FFB7" s="71"/>
      <c r="FFC7" s="71"/>
      <c r="FFD7" s="71"/>
      <c r="FFE7" s="71"/>
      <c r="FFF7" s="71"/>
      <c r="FFG7" s="71"/>
      <c r="FFH7" s="71"/>
      <c r="FFI7" s="71"/>
      <c r="FFJ7" s="71"/>
      <c r="FFK7" s="71"/>
      <c r="FFL7" s="71"/>
      <c r="FFM7" s="71"/>
      <c r="FFN7" s="71"/>
      <c r="FFO7" s="71"/>
      <c r="FFP7" s="71"/>
      <c r="FFQ7" s="71"/>
      <c r="FFR7" s="71"/>
      <c r="FFS7" s="71"/>
      <c r="FFT7" s="71"/>
      <c r="FFU7" s="71"/>
      <c r="FFV7" s="71"/>
      <c r="FFW7" s="71"/>
      <c r="FFX7" s="71"/>
      <c r="FFY7" s="71"/>
      <c r="FFZ7" s="71"/>
      <c r="FGA7" s="71"/>
      <c r="FGB7" s="71"/>
      <c r="FGC7" s="71"/>
      <c r="FGD7" s="71"/>
      <c r="FGE7" s="71"/>
      <c r="FGF7" s="71"/>
      <c r="FGG7" s="71"/>
      <c r="FGH7" s="71"/>
      <c r="FGI7" s="71"/>
      <c r="FGJ7" s="71"/>
      <c r="FGK7" s="71"/>
      <c r="FGL7" s="71"/>
      <c r="FGM7" s="71"/>
      <c r="FGN7" s="71"/>
      <c r="FGO7" s="71"/>
      <c r="FGP7" s="71"/>
      <c r="FGQ7" s="71"/>
      <c r="FGR7" s="71"/>
      <c r="FGS7" s="71"/>
      <c r="FGT7" s="71"/>
      <c r="FGU7" s="71"/>
      <c r="FGV7" s="71"/>
      <c r="FGW7" s="71"/>
      <c r="FGX7" s="71"/>
      <c r="FGY7" s="71"/>
      <c r="FGZ7" s="71"/>
      <c r="FHA7" s="71"/>
      <c r="FHB7" s="71"/>
      <c r="FHC7" s="71"/>
      <c r="FHD7" s="71"/>
      <c r="FHE7" s="71"/>
      <c r="FHF7" s="71"/>
      <c r="FHG7" s="71"/>
      <c r="FHH7" s="71"/>
      <c r="FHI7" s="71"/>
      <c r="FHJ7" s="71"/>
      <c r="FHK7" s="71"/>
      <c r="FHL7" s="71"/>
      <c r="FHM7" s="71"/>
      <c r="FHN7" s="71"/>
      <c r="FHO7" s="71"/>
      <c r="FHP7" s="71"/>
      <c r="FHQ7" s="71"/>
      <c r="FHR7" s="71"/>
      <c r="FHS7" s="71"/>
      <c r="FHT7" s="71"/>
      <c r="FHU7" s="71"/>
      <c r="FHV7" s="71"/>
      <c r="FHW7" s="71"/>
      <c r="FHX7" s="71"/>
      <c r="FHY7" s="71"/>
      <c r="FHZ7" s="71"/>
      <c r="FIA7" s="71"/>
      <c r="FIB7" s="71"/>
      <c r="FIC7" s="71"/>
      <c r="FID7" s="71"/>
      <c r="FIE7" s="71"/>
      <c r="FIF7" s="71"/>
      <c r="FIG7" s="71"/>
      <c r="FIH7" s="71"/>
      <c r="FII7" s="71"/>
      <c r="FIJ7" s="71"/>
      <c r="FIK7" s="71"/>
      <c r="FIL7" s="71"/>
      <c r="FIM7" s="71"/>
      <c r="FIN7" s="71"/>
      <c r="FIO7" s="71"/>
      <c r="FIP7" s="71"/>
      <c r="FIQ7" s="71"/>
      <c r="FIR7" s="71"/>
      <c r="FIS7" s="71"/>
      <c r="FIT7" s="71"/>
      <c r="FIU7" s="71"/>
      <c r="FIV7" s="71"/>
      <c r="FIW7" s="71"/>
      <c r="FIX7" s="71"/>
      <c r="FIY7" s="71"/>
      <c r="FIZ7" s="71"/>
      <c r="FJA7" s="71"/>
      <c r="FJB7" s="71"/>
      <c r="FJC7" s="71"/>
      <c r="FJD7" s="71"/>
      <c r="FJE7" s="71"/>
      <c r="FJF7" s="71"/>
      <c r="FJG7" s="71"/>
      <c r="FJH7" s="71"/>
      <c r="FJI7" s="71"/>
      <c r="FJJ7" s="71"/>
      <c r="FJK7" s="71"/>
      <c r="FJL7" s="71"/>
      <c r="FJM7" s="71"/>
      <c r="FJN7" s="71"/>
      <c r="FJO7" s="71"/>
      <c r="FJP7" s="71"/>
      <c r="FJQ7" s="71"/>
      <c r="FJR7" s="71"/>
      <c r="FJS7" s="71"/>
      <c r="FJT7" s="71"/>
      <c r="FJU7" s="71"/>
      <c r="FJV7" s="71"/>
      <c r="FJW7" s="71"/>
      <c r="FJX7" s="71"/>
      <c r="FJY7" s="71"/>
      <c r="FJZ7" s="71"/>
      <c r="FKA7" s="71"/>
      <c r="FKB7" s="71"/>
      <c r="FKC7" s="71"/>
      <c r="FKD7" s="71"/>
      <c r="FKE7" s="71"/>
      <c r="FKF7" s="71"/>
      <c r="FKG7" s="71"/>
      <c r="FKH7" s="71"/>
      <c r="FKI7" s="71"/>
      <c r="FKJ7" s="71"/>
      <c r="FKK7" s="71"/>
      <c r="FKL7" s="71"/>
      <c r="FKM7" s="71"/>
      <c r="FKN7" s="71"/>
      <c r="FKO7" s="71"/>
      <c r="FKP7" s="71"/>
      <c r="FKQ7" s="71"/>
      <c r="FKR7" s="71"/>
      <c r="FKS7" s="71"/>
      <c r="FKT7" s="71"/>
      <c r="FKU7" s="71"/>
      <c r="FKV7" s="71"/>
      <c r="FKW7" s="71"/>
      <c r="FKX7" s="71"/>
      <c r="FKY7" s="71"/>
      <c r="FKZ7" s="71"/>
      <c r="FLA7" s="71"/>
      <c r="FLB7" s="71"/>
      <c r="FLC7" s="71"/>
      <c r="FLD7" s="71"/>
      <c r="FLE7" s="71"/>
      <c r="FLF7" s="71"/>
      <c r="FLG7" s="71"/>
      <c r="FLH7" s="71"/>
      <c r="FLI7" s="71"/>
      <c r="FLJ7" s="71"/>
      <c r="FLK7" s="71"/>
      <c r="FLL7" s="71"/>
      <c r="FLM7" s="71"/>
      <c r="FLN7" s="71"/>
      <c r="FLO7" s="71"/>
      <c r="FLP7" s="71"/>
      <c r="FLQ7" s="71"/>
      <c r="FLR7" s="71"/>
      <c r="FLS7" s="71"/>
      <c r="FLT7" s="71"/>
      <c r="FLU7" s="71"/>
      <c r="FLV7" s="71"/>
      <c r="FLW7" s="71"/>
      <c r="FLX7" s="71"/>
      <c r="FLY7" s="71"/>
      <c r="FLZ7" s="71"/>
      <c r="FMA7" s="71"/>
      <c r="FMB7" s="71"/>
      <c r="FMC7" s="71"/>
      <c r="FMD7" s="71"/>
      <c r="FME7" s="71"/>
      <c r="FMF7" s="71"/>
      <c r="FMG7" s="71"/>
      <c r="FMH7" s="71"/>
      <c r="FMI7" s="71"/>
      <c r="FMJ7" s="71"/>
      <c r="FMK7" s="71"/>
      <c r="FML7" s="71"/>
      <c r="FMM7" s="71"/>
      <c r="FMN7" s="71"/>
      <c r="FMO7" s="71"/>
      <c r="FMP7" s="71"/>
      <c r="FMQ7" s="71"/>
      <c r="FMR7" s="71"/>
      <c r="FMS7" s="71"/>
      <c r="FMT7" s="71"/>
      <c r="FMU7" s="71"/>
      <c r="FMV7" s="71"/>
      <c r="FMW7" s="71"/>
      <c r="FMX7" s="71"/>
      <c r="FMY7" s="71"/>
      <c r="FMZ7" s="71"/>
      <c r="FNA7" s="71"/>
      <c r="FNB7" s="71"/>
      <c r="FNC7" s="71"/>
      <c r="FND7" s="71"/>
      <c r="FNE7" s="71"/>
      <c r="FNF7" s="71"/>
      <c r="FNG7" s="71"/>
      <c r="FNH7" s="71"/>
      <c r="FNI7" s="71"/>
      <c r="FNJ7" s="71"/>
      <c r="FNK7" s="71"/>
      <c r="FNL7" s="71"/>
      <c r="FNM7" s="71"/>
      <c r="FNN7" s="71"/>
      <c r="FNO7" s="71"/>
      <c r="FNP7" s="71"/>
      <c r="FNQ7" s="71"/>
      <c r="FNR7" s="71"/>
      <c r="FNS7" s="71"/>
      <c r="FNT7" s="71"/>
      <c r="FNU7" s="71"/>
      <c r="FNV7" s="71"/>
      <c r="FNW7" s="71"/>
      <c r="FNX7" s="71"/>
      <c r="FNY7" s="71"/>
      <c r="FNZ7" s="71"/>
      <c r="FOA7" s="71"/>
      <c r="FOB7" s="71"/>
      <c r="FOC7" s="71"/>
      <c r="FOD7" s="71"/>
      <c r="FOE7" s="71"/>
      <c r="FOF7" s="71"/>
      <c r="FOG7" s="71"/>
      <c r="FOH7" s="71"/>
      <c r="FOI7" s="71"/>
      <c r="FOJ7" s="71"/>
      <c r="FOK7" s="71"/>
      <c r="FOL7" s="71"/>
      <c r="FOM7" s="71"/>
      <c r="FON7" s="71"/>
      <c r="FOO7" s="71"/>
      <c r="FOP7" s="71"/>
      <c r="FOQ7" s="71"/>
      <c r="FOR7" s="71"/>
      <c r="FOS7" s="71"/>
      <c r="FOT7" s="71"/>
      <c r="FOU7" s="71"/>
      <c r="FOV7" s="71"/>
      <c r="FOW7" s="71"/>
      <c r="FOX7" s="71"/>
      <c r="FOY7" s="71"/>
      <c r="FOZ7" s="71"/>
      <c r="FPA7" s="71"/>
      <c r="FPB7" s="71"/>
      <c r="FPC7" s="71"/>
      <c r="FPD7" s="71"/>
      <c r="FPE7" s="71"/>
      <c r="FPF7" s="71"/>
      <c r="FPG7" s="71"/>
      <c r="FPH7" s="71"/>
      <c r="FPI7" s="71"/>
      <c r="FPJ7" s="71"/>
      <c r="FPK7" s="71"/>
      <c r="FPL7" s="71"/>
      <c r="FPM7" s="71"/>
      <c r="FPN7" s="71"/>
      <c r="FPO7" s="71"/>
      <c r="FPP7" s="71"/>
      <c r="FPQ7" s="71"/>
      <c r="FPR7" s="71"/>
      <c r="FPS7" s="71"/>
      <c r="FPT7" s="71"/>
      <c r="FPU7" s="71"/>
      <c r="FPV7" s="71"/>
      <c r="FPW7" s="71"/>
      <c r="FPX7" s="71"/>
      <c r="FPY7" s="71"/>
      <c r="FPZ7" s="71"/>
      <c r="FQA7" s="71"/>
      <c r="FQB7" s="71"/>
      <c r="FQC7" s="71"/>
      <c r="FQD7" s="71"/>
      <c r="FQE7" s="71"/>
      <c r="FQF7" s="71"/>
      <c r="FQG7" s="71"/>
      <c r="FQH7" s="71"/>
      <c r="FQI7" s="71"/>
      <c r="FQJ7" s="71"/>
      <c r="FQK7" s="71"/>
      <c r="FQL7" s="71"/>
      <c r="FQM7" s="71"/>
      <c r="FQN7" s="71"/>
      <c r="FQO7" s="71"/>
      <c r="FQP7" s="71"/>
      <c r="FQQ7" s="71"/>
      <c r="FQR7" s="71"/>
      <c r="FQS7" s="71"/>
      <c r="FQT7" s="71"/>
      <c r="FQU7" s="71"/>
      <c r="FQV7" s="71"/>
      <c r="FQW7" s="71"/>
      <c r="FQX7" s="71"/>
      <c r="FQY7" s="71"/>
      <c r="FQZ7" s="71"/>
      <c r="FRA7" s="71"/>
      <c r="FRB7" s="71"/>
      <c r="FRC7" s="71"/>
      <c r="FRD7" s="71"/>
      <c r="FRE7" s="71"/>
      <c r="FRF7" s="71"/>
      <c r="FRG7" s="71"/>
      <c r="FRH7" s="71"/>
      <c r="FRI7" s="71"/>
      <c r="FRJ7" s="71"/>
      <c r="FRK7" s="71"/>
      <c r="FRL7" s="71"/>
      <c r="FRM7" s="71"/>
      <c r="FRN7" s="71"/>
      <c r="FRO7" s="71"/>
      <c r="FRP7" s="71"/>
      <c r="FRQ7" s="71"/>
      <c r="FRR7" s="71"/>
      <c r="FRS7" s="71"/>
      <c r="FRT7" s="71"/>
      <c r="FRU7" s="71"/>
      <c r="FRV7" s="71"/>
      <c r="FRW7" s="71"/>
      <c r="FRX7" s="71"/>
      <c r="FRY7" s="71"/>
      <c r="FRZ7" s="71"/>
      <c r="FSA7" s="71"/>
      <c r="FSB7" s="71"/>
      <c r="FSC7" s="71"/>
      <c r="FSD7" s="71"/>
      <c r="FSE7" s="71"/>
      <c r="FSF7" s="71"/>
      <c r="FSG7" s="71"/>
      <c r="FSH7" s="71"/>
      <c r="FSI7" s="71"/>
      <c r="FSJ7" s="71"/>
      <c r="FSK7" s="71"/>
      <c r="FSL7" s="71"/>
      <c r="FSM7" s="71"/>
      <c r="FSN7" s="71"/>
      <c r="FSO7" s="71"/>
      <c r="FSP7" s="71"/>
      <c r="FSQ7" s="71"/>
      <c r="FSR7" s="71"/>
      <c r="FSS7" s="71"/>
      <c r="FST7" s="71"/>
      <c r="FSU7" s="71"/>
      <c r="FSV7" s="71"/>
      <c r="FSW7" s="71"/>
      <c r="FSX7" s="71"/>
      <c r="FSY7" s="71"/>
      <c r="FSZ7" s="71"/>
      <c r="FTA7" s="71"/>
      <c r="FTB7" s="71"/>
      <c r="FTC7" s="71"/>
      <c r="FTD7" s="71"/>
      <c r="FTE7" s="71"/>
      <c r="FTF7" s="71"/>
      <c r="FTG7" s="71"/>
      <c r="FTH7" s="71"/>
      <c r="FTI7" s="71"/>
      <c r="FTJ7" s="71"/>
      <c r="FTK7" s="71"/>
      <c r="FTL7" s="71"/>
      <c r="FTM7" s="71"/>
      <c r="FTN7" s="71"/>
      <c r="FTO7" s="71"/>
      <c r="FTP7" s="71"/>
      <c r="FTQ7" s="71"/>
      <c r="FTR7" s="71"/>
      <c r="FTS7" s="71"/>
      <c r="FTT7" s="71"/>
      <c r="FTU7" s="71"/>
      <c r="FTV7" s="71"/>
      <c r="FTW7" s="71"/>
      <c r="FTX7" s="71"/>
      <c r="FTY7" s="71"/>
      <c r="FTZ7" s="71"/>
      <c r="FUA7" s="71"/>
      <c r="FUB7" s="71"/>
      <c r="FUC7" s="71"/>
      <c r="FUD7" s="71"/>
      <c r="FUE7" s="71"/>
      <c r="FUF7" s="71"/>
      <c r="FUG7" s="71"/>
      <c r="FUH7" s="71"/>
      <c r="FUI7" s="71"/>
      <c r="FUJ7" s="71"/>
      <c r="FUK7" s="71"/>
      <c r="FUL7" s="71"/>
      <c r="FUM7" s="71"/>
      <c r="FUN7" s="71"/>
      <c r="FUO7" s="71"/>
      <c r="FUP7" s="71"/>
      <c r="FUQ7" s="71"/>
      <c r="FUR7" s="71"/>
      <c r="FUS7" s="71"/>
      <c r="FUT7" s="71"/>
      <c r="FUU7" s="71"/>
      <c r="FUV7" s="71"/>
      <c r="FUW7" s="71"/>
      <c r="FUX7" s="71"/>
      <c r="FUY7" s="71"/>
      <c r="FUZ7" s="71"/>
      <c r="FVA7" s="71"/>
      <c r="FVB7" s="71"/>
      <c r="FVC7" s="71"/>
      <c r="FVD7" s="71"/>
      <c r="FVE7" s="71"/>
      <c r="FVF7" s="71"/>
      <c r="FVG7" s="71"/>
      <c r="FVH7" s="71"/>
      <c r="FVI7" s="71"/>
      <c r="FVJ7" s="71"/>
      <c r="FVK7" s="71"/>
      <c r="FVL7" s="71"/>
      <c r="FVM7" s="71"/>
      <c r="FVN7" s="71"/>
      <c r="FVO7" s="71"/>
      <c r="FVP7" s="71"/>
      <c r="FVQ7" s="71"/>
      <c r="FVR7" s="71"/>
      <c r="FVS7" s="71"/>
      <c r="FVT7" s="71"/>
      <c r="FVU7" s="71"/>
      <c r="FVV7" s="71"/>
      <c r="FVW7" s="71"/>
      <c r="FVX7" s="71"/>
      <c r="FVY7" s="71"/>
      <c r="FVZ7" s="71"/>
      <c r="FWA7" s="71"/>
      <c r="FWB7" s="71"/>
      <c r="FWC7" s="71"/>
      <c r="FWD7" s="71"/>
      <c r="FWE7" s="71"/>
      <c r="FWF7" s="71"/>
      <c r="FWG7" s="71"/>
      <c r="FWH7" s="71"/>
      <c r="FWI7" s="71"/>
      <c r="FWJ7" s="71"/>
      <c r="FWK7" s="71"/>
      <c r="FWL7" s="71"/>
      <c r="FWM7" s="71"/>
      <c r="FWN7" s="71"/>
      <c r="FWO7" s="71"/>
      <c r="FWP7" s="71"/>
      <c r="FWQ7" s="71"/>
      <c r="FWR7" s="71"/>
      <c r="FWS7" s="71"/>
      <c r="FWT7" s="71"/>
      <c r="FWU7" s="71"/>
      <c r="FWV7" s="71"/>
      <c r="FWW7" s="71"/>
      <c r="FWX7" s="71"/>
      <c r="FWY7" s="71"/>
      <c r="FWZ7" s="71"/>
      <c r="FXA7" s="71"/>
      <c r="FXB7" s="71"/>
      <c r="FXC7" s="71"/>
      <c r="FXD7" s="71"/>
      <c r="FXE7" s="71"/>
      <c r="FXF7" s="71"/>
      <c r="FXG7" s="71"/>
      <c r="FXH7" s="71"/>
      <c r="FXI7" s="71"/>
      <c r="FXJ7" s="71"/>
      <c r="FXK7" s="71"/>
      <c r="FXL7" s="71"/>
      <c r="FXM7" s="71"/>
      <c r="FXN7" s="71"/>
      <c r="FXO7" s="71"/>
      <c r="FXP7" s="71"/>
      <c r="FXQ7" s="71"/>
      <c r="FXR7" s="71"/>
      <c r="FXS7" s="71"/>
      <c r="FXT7" s="71"/>
      <c r="FXU7" s="71"/>
      <c r="FXV7" s="71"/>
      <c r="FXW7" s="71"/>
      <c r="FXX7" s="71"/>
      <c r="FXY7" s="71"/>
      <c r="FXZ7" s="71"/>
      <c r="FYA7" s="71"/>
      <c r="FYB7" s="71"/>
      <c r="FYC7" s="71"/>
      <c r="FYD7" s="71"/>
      <c r="FYE7" s="71"/>
      <c r="FYF7" s="71"/>
      <c r="FYG7" s="71"/>
      <c r="FYH7" s="71"/>
      <c r="FYI7" s="71"/>
      <c r="FYJ7" s="71"/>
      <c r="FYK7" s="71"/>
      <c r="FYL7" s="71"/>
      <c r="FYM7" s="71"/>
      <c r="FYN7" s="71"/>
      <c r="FYO7" s="71"/>
      <c r="FYP7" s="71"/>
      <c r="FYQ7" s="71"/>
      <c r="FYR7" s="71"/>
      <c r="FYS7" s="71"/>
      <c r="FYT7" s="71"/>
      <c r="FYU7" s="71"/>
      <c r="FYV7" s="71"/>
      <c r="FYW7" s="71"/>
      <c r="FYX7" s="71"/>
      <c r="FYY7" s="71"/>
      <c r="FYZ7" s="71"/>
      <c r="FZA7" s="71"/>
      <c r="FZB7" s="71"/>
      <c r="FZC7" s="71"/>
      <c r="FZD7" s="71"/>
      <c r="FZE7" s="71"/>
      <c r="FZF7" s="71"/>
      <c r="FZG7" s="71"/>
      <c r="FZH7" s="71"/>
      <c r="FZI7" s="71"/>
      <c r="FZJ7" s="71"/>
      <c r="FZK7" s="71"/>
      <c r="FZL7" s="71"/>
      <c r="FZM7" s="71"/>
      <c r="FZN7" s="71"/>
      <c r="FZO7" s="71"/>
      <c r="FZP7" s="71"/>
      <c r="FZQ7" s="71"/>
      <c r="FZR7" s="71"/>
      <c r="FZS7" s="71"/>
      <c r="FZT7" s="71"/>
      <c r="FZU7" s="71"/>
      <c r="FZV7" s="71"/>
      <c r="FZW7" s="71"/>
      <c r="FZX7" s="71"/>
      <c r="FZY7" s="71"/>
      <c r="FZZ7" s="71"/>
      <c r="GAA7" s="71"/>
      <c r="GAB7" s="71"/>
      <c r="GAC7" s="71"/>
      <c r="GAD7" s="71"/>
      <c r="GAE7" s="71"/>
      <c r="GAF7" s="71"/>
      <c r="GAG7" s="71"/>
      <c r="GAH7" s="71"/>
      <c r="GAI7" s="71"/>
      <c r="GAJ7" s="71"/>
      <c r="GAK7" s="71"/>
      <c r="GAL7" s="71"/>
      <c r="GAM7" s="71"/>
      <c r="GAN7" s="71"/>
      <c r="GAO7" s="71"/>
      <c r="GAP7" s="71"/>
      <c r="GAQ7" s="71"/>
      <c r="GAR7" s="71"/>
      <c r="GAS7" s="71"/>
      <c r="GAT7" s="71"/>
      <c r="GAU7" s="71"/>
      <c r="GAV7" s="71"/>
      <c r="GAW7" s="71"/>
      <c r="GAX7" s="71"/>
      <c r="GAY7" s="71"/>
      <c r="GAZ7" s="71"/>
      <c r="GBA7" s="71"/>
      <c r="GBB7" s="71"/>
      <c r="GBC7" s="71"/>
      <c r="GBD7" s="71"/>
      <c r="GBE7" s="71"/>
      <c r="GBF7" s="71"/>
      <c r="GBG7" s="71"/>
      <c r="GBH7" s="71"/>
      <c r="GBI7" s="71"/>
      <c r="GBJ7" s="71"/>
      <c r="GBK7" s="71"/>
      <c r="GBL7" s="71"/>
      <c r="GBM7" s="71"/>
      <c r="GBN7" s="71"/>
      <c r="GBO7" s="71"/>
      <c r="GBP7" s="71"/>
      <c r="GBQ7" s="71"/>
      <c r="GBR7" s="71"/>
      <c r="GBS7" s="71"/>
      <c r="GBT7" s="71"/>
      <c r="GBU7" s="71"/>
      <c r="GBV7" s="71"/>
      <c r="GBW7" s="71"/>
      <c r="GBX7" s="71"/>
      <c r="GBY7" s="71"/>
      <c r="GBZ7" s="71"/>
      <c r="GCA7" s="71"/>
      <c r="GCB7" s="71"/>
      <c r="GCC7" s="71"/>
      <c r="GCD7" s="71"/>
      <c r="GCE7" s="71"/>
      <c r="GCF7" s="71"/>
      <c r="GCG7" s="71"/>
      <c r="GCH7" s="71"/>
      <c r="GCI7" s="71"/>
      <c r="GCJ7" s="71"/>
      <c r="GCK7" s="71"/>
      <c r="GCL7" s="71"/>
      <c r="GCM7" s="71"/>
      <c r="GCN7" s="71"/>
      <c r="GCO7" s="71"/>
      <c r="GCP7" s="71"/>
      <c r="GCQ7" s="71"/>
      <c r="GCR7" s="71"/>
      <c r="GCS7" s="71"/>
      <c r="GCT7" s="71"/>
      <c r="GCU7" s="71"/>
      <c r="GCV7" s="71"/>
      <c r="GCW7" s="71"/>
      <c r="GCX7" s="71"/>
      <c r="GCY7" s="71"/>
      <c r="GCZ7" s="71"/>
      <c r="GDA7" s="71"/>
      <c r="GDB7" s="71"/>
      <c r="GDC7" s="71"/>
      <c r="GDD7" s="71"/>
      <c r="GDE7" s="71"/>
      <c r="GDF7" s="71"/>
      <c r="GDG7" s="71"/>
      <c r="GDH7" s="71"/>
      <c r="GDI7" s="71"/>
      <c r="GDJ7" s="71"/>
      <c r="GDK7" s="71"/>
      <c r="GDL7" s="71"/>
      <c r="GDM7" s="71"/>
      <c r="GDN7" s="71"/>
      <c r="GDO7" s="71"/>
      <c r="GDP7" s="71"/>
      <c r="GDQ7" s="71"/>
      <c r="GDR7" s="71"/>
      <c r="GDS7" s="71"/>
      <c r="GDT7" s="71"/>
      <c r="GDU7" s="71"/>
      <c r="GDV7" s="71"/>
      <c r="GDW7" s="71"/>
      <c r="GDX7" s="71"/>
      <c r="GDY7" s="71"/>
      <c r="GDZ7" s="71"/>
      <c r="GEA7" s="71"/>
      <c r="GEB7" s="71"/>
      <c r="GEC7" s="71"/>
      <c r="GED7" s="71"/>
      <c r="GEE7" s="71"/>
      <c r="GEF7" s="71"/>
      <c r="GEG7" s="71"/>
      <c r="GEH7" s="71"/>
      <c r="GEI7" s="71"/>
      <c r="GEJ7" s="71"/>
      <c r="GEK7" s="71"/>
      <c r="GEL7" s="71"/>
      <c r="GEM7" s="71"/>
      <c r="GEN7" s="71"/>
      <c r="GEO7" s="71"/>
      <c r="GEP7" s="71"/>
      <c r="GEQ7" s="71"/>
      <c r="GER7" s="71"/>
      <c r="GES7" s="71"/>
      <c r="GET7" s="71"/>
      <c r="GEU7" s="71"/>
      <c r="GEV7" s="71"/>
      <c r="GEW7" s="71"/>
      <c r="GEX7" s="71"/>
      <c r="GEY7" s="71"/>
      <c r="GEZ7" s="71"/>
      <c r="GFA7" s="71"/>
      <c r="GFB7" s="71"/>
      <c r="GFC7" s="71"/>
      <c r="GFD7" s="71"/>
      <c r="GFE7" s="71"/>
      <c r="GFF7" s="71"/>
      <c r="GFG7" s="71"/>
      <c r="GFH7" s="71"/>
      <c r="GFI7" s="71"/>
      <c r="GFJ7" s="71"/>
      <c r="GFK7" s="71"/>
      <c r="GFL7" s="71"/>
      <c r="GFM7" s="71"/>
      <c r="GFN7" s="71"/>
      <c r="GFO7" s="71"/>
      <c r="GFP7" s="71"/>
      <c r="GFQ7" s="71"/>
      <c r="GFR7" s="71"/>
      <c r="GFS7" s="71"/>
      <c r="GFT7" s="71"/>
      <c r="GFU7" s="71"/>
      <c r="GFV7" s="71"/>
      <c r="GFW7" s="71"/>
      <c r="GFX7" s="71"/>
      <c r="GFY7" s="71"/>
      <c r="GFZ7" s="71"/>
      <c r="GGA7" s="71"/>
      <c r="GGB7" s="71"/>
      <c r="GGC7" s="71"/>
      <c r="GGD7" s="71"/>
      <c r="GGE7" s="71"/>
      <c r="GGF7" s="71"/>
      <c r="GGG7" s="71"/>
      <c r="GGH7" s="71"/>
      <c r="GGI7" s="71"/>
      <c r="GGJ7" s="71"/>
      <c r="GGK7" s="71"/>
      <c r="GGL7" s="71"/>
      <c r="GGM7" s="71"/>
      <c r="GGN7" s="71"/>
      <c r="GGO7" s="71"/>
      <c r="GGP7" s="71"/>
      <c r="GGQ7" s="71"/>
      <c r="GGR7" s="71"/>
      <c r="GGS7" s="71"/>
      <c r="GGT7" s="71"/>
      <c r="GGU7" s="71"/>
      <c r="GGV7" s="71"/>
      <c r="GGW7" s="71"/>
      <c r="GGX7" s="71"/>
      <c r="GGY7" s="71"/>
      <c r="GGZ7" s="71"/>
      <c r="GHA7" s="71"/>
      <c r="GHB7" s="71"/>
      <c r="GHC7" s="71"/>
      <c r="GHD7" s="71"/>
      <c r="GHE7" s="71"/>
      <c r="GHF7" s="71"/>
      <c r="GHG7" s="71"/>
      <c r="GHH7" s="71"/>
      <c r="GHI7" s="71"/>
      <c r="GHJ7" s="71"/>
      <c r="GHK7" s="71"/>
      <c r="GHL7" s="71"/>
      <c r="GHM7" s="71"/>
      <c r="GHN7" s="71"/>
      <c r="GHO7" s="71"/>
      <c r="GHP7" s="71"/>
      <c r="GHQ7" s="71"/>
      <c r="GHR7" s="71"/>
      <c r="GHS7" s="71"/>
      <c r="GHT7" s="71"/>
      <c r="GHU7" s="71"/>
      <c r="GHV7" s="71"/>
      <c r="GHW7" s="71"/>
      <c r="GHX7" s="71"/>
      <c r="GHY7" s="71"/>
      <c r="GHZ7" s="71"/>
      <c r="GIA7" s="71"/>
      <c r="GIB7" s="71"/>
      <c r="GIC7" s="71"/>
      <c r="GID7" s="71"/>
      <c r="GIE7" s="71"/>
      <c r="GIF7" s="71"/>
      <c r="GIG7" s="71"/>
      <c r="GIH7" s="71"/>
      <c r="GII7" s="71"/>
      <c r="GIJ7" s="71"/>
      <c r="GIK7" s="71"/>
      <c r="GIL7" s="71"/>
      <c r="GIM7" s="71"/>
      <c r="GIN7" s="71"/>
      <c r="GIO7" s="71"/>
      <c r="GIP7" s="71"/>
      <c r="GIQ7" s="71"/>
      <c r="GIR7" s="71"/>
      <c r="GIS7" s="71"/>
      <c r="GIT7" s="71"/>
      <c r="GIU7" s="71"/>
      <c r="GIV7" s="71"/>
      <c r="GIW7" s="71"/>
      <c r="GIX7" s="71"/>
      <c r="GIY7" s="71"/>
      <c r="GIZ7" s="71"/>
      <c r="GJA7" s="71"/>
      <c r="GJB7" s="71"/>
      <c r="GJC7" s="71"/>
      <c r="GJD7" s="71"/>
      <c r="GJE7" s="71"/>
      <c r="GJF7" s="71"/>
      <c r="GJG7" s="71"/>
      <c r="GJH7" s="71"/>
      <c r="GJI7" s="71"/>
      <c r="GJJ7" s="71"/>
      <c r="GJK7" s="71"/>
      <c r="GJL7" s="71"/>
      <c r="GJM7" s="71"/>
      <c r="GJN7" s="71"/>
      <c r="GJO7" s="71"/>
      <c r="GJP7" s="71"/>
      <c r="GJQ7" s="71"/>
      <c r="GJR7" s="71"/>
      <c r="GJS7" s="71"/>
      <c r="GJT7" s="71"/>
      <c r="GJU7" s="71"/>
      <c r="GJV7" s="71"/>
      <c r="GJW7" s="71"/>
      <c r="GJX7" s="71"/>
      <c r="GJY7" s="71"/>
      <c r="GJZ7" s="71"/>
      <c r="GKA7" s="71"/>
      <c r="GKB7" s="71"/>
      <c r="GKC7" s="71"/>
      <c r="GKD7" s="71"/>
      <c r="GKE7" s="71"/>
      <c r="GKF7" s="71"/>
      <c r="GKG7" s="71"/>
      <c r="GKH7" s="71"/>
      <c r="GKI7" s="71"/>
      <c r="GKJ7" s="71"/>
      <c r="GKK7" s="71"/>
      <c r="GKL7" s="71"/>
      <c r="GKM7" s="71"/>
      <c r="GKN7" s="71"/>
      <c r="GKO7" s="71"/>
      <c r="GKP7" s="71"/>
      <c r="GKQ7" s="71"/>
      <c r="GKR7" s="71"/>
      <c r="GKS7" s="71"/>
      <c r="GKT7" s="71"/>
      <c r="GKU7" s="71"/>
      <c r="GKV7" s="71"/>
      <c r="GKW7" s="71"/>
      <c r="GKX7" s="71"/>
      <c r="GKY7" s="71"/>
      <c r="GKZ7" s="71"/>
      <c r="GLA7" s="71"/>
      <c r="GLB7" s="71"/>
      <c r="GLC7" s="71"/>
      <c r="GLD7" s="71"/>
      <c r="GLE7" s="71"/>
      <c r="GLF7" s="71"/>
      <c r="GLG7" s="71"/>
      <c r="GLH7" s="71"/>
      <c r="GLI7" s="71"/>
      <c r="GLJ7" s="71"/>
      <c r="GLK7" s="71"/>
      <c r="GLL7" s="71"/>
      <c r="GLM7" s="71"/>
      <c r="GLN7" s="71"/>
      <c r="GLO7" s="71"/>
      <c r="GLP7" s="71"/>
      <c r="GLQ7" s="71"/>
      <c r="GLR7" s="71"/>
      <c r="GLS7" s="71"/>
      <c r="GLT7" s="71"/>
      <c r="GLU7" s="71"/>
      <c r="GLV7" s="71"/>
      <c r="GLW7" s="71"/>
      <c r="GLX7" s="71"/>
      <c r="GLY7" s="71"/>
      <c r="GLZ7" s="71"/>
      <c r="GMA7" s="71"/>
      <c r="GMB7" s="71"/>
      <c r="GMC7" s="71"/>
      <c r="GMD7" s="71"/>
      <c r="GME7" s="71"/>
      <c r="GMF7" s="71"/>
      <c r="GMG7" s="71"/>
      <c r="GMH7" s="71"/>
      <c r="GMI7" s="71"/>
      <c r="GMJ7" s="71"/>
      <c r="GMK7" s="71"/>
      <c r="GML7" s="71"/>
      <c r="GMM7" s="71"/>
      <c r="GMN7" s="71"/>
      <c r="GMO7" s="71"/>
      <c r="GMP7" s="71"/>
      <c r="GMQ7" s="71"/>
      <c r="GMR7" s="71"/>
      <c r="GMS7" s="71"/>
      <c r="GMT7" s="71"/>
      <c r="GMU7" s="71"/>
      <c r="GMV7" s="71"/>
      <c r="GMW7" s="71"/>
      <c r="GMX7" s="71"/>
      <c r="GMY7" s="71"/>
      <c r="GMZ7" s="71"/>
      <c r="GNA7" s="71"/>
      <c r="GNB7" s="71"/>
      <c r="GNC7" s="71"/>
      <c r="GND7" s="71"/>
      <c r="GNE7" s="71"/>
      <c r="GNF7" s="71"/>
      <c r="GNG7" s="71"/>
      <c r="GNH7" s="71"/>
      <c r="GNI7" s="71"/>
      <c r="GNJ7" s="71"/>
      <c r="GNK7" s="71"/>
      <c r="GNL7" s="71"/>
      <c r="GNM7" s="71"/>
      <c r="GNN7" s="71"/>
      <c r="GNO7" s="71"/>
      <c r="GNP7" s="71"/>
      <c r="GNQ7" s="71"/>
      <c r="GNR7" s="71"/>
      <c r="GNS7" s="71"/>
      <c r="GNT7" s="71"/>
      <c r="GNU7" s="71"/>
      <c r="GNV7" s="71"/>
      <c r="GNW7" s="71"/>
      <c r="GNX7" s="71"/>
      <c r="GNY7" s="71"/>
      <c r="GNZ7" s="71"/>
      <c r="GOA7" s="71"/>
      <c r="GOB7" s="71"/>
      <c r="GOC7" s="71"/>
      <c r="GOD7" s="71"/>
      <c r="GOE7" s="71"/>
      <c r="GOF7" s="71"/>
      <c r="GOG7" s="71"/>
      <c r="GOH7" s="71"/>
      <c r="GOI7" s="71"/>
      <c r="GOJ7" s="71"/>
      <c r="GOK7" s="71"/>
      <c r="GOL7" s="71"/>
      <c r="GOM7" s="71"/>
      <c r="GON7" s="71"/>
      <c r="GOO7" s="71"/>
      <c r="GOP7" s="71"/>
      <c r="GOQ7" s="71"/>
      <c r="GOR7" s="71"/>
      <c r="GOS7" s="71"/>
      <c r="GOT7" s="71"/>
      <c r="GOU7" s="71"/>
      <c r="GOV7" s="71"/>
      <c r="GOW7" s="71"/>
      <c r="GOX7" s="71"/>
      <c r="GOY7" s="71"/>
      <c r="GOZ7" s="71"/>
      <c r="GPA7" s="71"/>
      <c r="GPB7" s="71"/>
      <c r="GPC7" s="71"/>
      <c r="GPD7" s="71"/>
      <c r="GPE7" s="71"/>
      <c r="GPF7" s="71"/>
      <c r="GPG7" s="71"/>
      <c r="GPH7" s="71"/>
      <c r="GPI7" s="71"/>
      <c r="GPJ7" s="71"/>
      <c r="GPK7" s="71"/>
      <c r="GPL7" s="71"/>
      <c r="GPM7" s="71"/>
      <c r="GPN7" s="71"/>
      <c r="GPO7" s="71"/>
      <c r="GPP7" s="71"/>
      <c r="GPQ7" s="71"/>
      <c r="GPR7" s="71"/>
      <c r="GPS7" s="71"/>
      <c r="GPT7" s="71"/>
      <c r="GPU7" s="71"/>
      <c r="GPV7" s="71"/>
      <c r="GPW7" s="71"/>
      <c r="GPX7" s="71"/>
      <c r="GPY7" s="71"/>
      <c r="GPZ7" s="71"/>
      <c r="GQA7" s="71"/>
      <c r="GQB7" s="71"/>
      <c r="GQC7" s="71"/>
      <c r="GQD7" s="71"/>
      <c r="GQE7" s="71"/>
      <c r="GQF7" s="71"/>
      <c r="GQG7" s="71"/>
      <c r="GQH7" s="71"/>
      <c r="GQI7" s="71"/>
      <c r="GQJ7" s="71"/>
      <c r="GQK7" s="71"/>
      <c r="GQL7" s="71"/>
      <c r="GQM7" s="71"/>
      <c r="GQN7" s="71"/>
      <c r="GQO7" s="71"/>
      <c r="GQP7" s="71"/>
      <c r="GQQ7" s="71"/>
      <c r="GQR7" s="71"/>
      <c r="GQS7" s="71"/>
      <c r="GQT7" s="71"/>
      <c r="GQU7" s="71"/>
      <c r="GQV7" s="71"/>
      <c r="GQW7" s="71"/>
      <c r="GQX7" s="71"/>
      <c r="GQY7" s="71"/>
      <c r="GQZ7" s="71"/>
      <c r="GRA7" s="71"/>
      <c r="GRB7" s="71"/>
      <c r="GRC7" s="71"/>
      <c r="GRD7" s="71"/>
      <c r="GRE7" s="71"/>
      <c r="GRF7" s="71"/>
      <c r="GRG7" s="71"/>
      <c r="GRH7" s="71"/>
      <c r="GRI7" s="71"/>
      <c r="GRJ7" s="71"/>
      <c r="GRK7" s="71"/>
      <c r="GRL7" s="71"/>
      <c r="GRM7" s="71"/>
      <c r="GRN7" s="71"/>
      <c r="GRO7" s="71"/>
      <c r="GRP7" s="71"/>
      <c r="GRQ7" s="71"/>
      <c r="GRR7" s="71"/>
      <c r="GRS7" s="71"/>
      <c r="GRT7" s="71"/>
      <c r="GRU7" s="71"/>
      <c r="GRV7" s="71"/>
      <c r="GRW7" s="71"/>
      <c r="GRX7" s="71"/>
      <c r="GRY7" s="71"/>
      <c r="GRZ7" s="71"/>
      <c r="GSA7" s="71"/>
      <c r="GSB7" s="71"/>
      <c r="GSC7" s="71"/>
      <c r="GSD7" s="71"/>
      <c r="GSE7" s="71"/>
      <c r="GSF7" s="71"/>
      <c r="GSG7" s="71"/>
      <c r="GSH7" s="71"/>
      <c r="GSI7" s="71"/>
      <c r="GSJ7" s="71"/>
      <c r="GSK7" s="71"/>
      <c r="GSL7" s="71"/>
      <c r="GSM7" s="71"/>
      <c r="GSN7" s="71"/>
      <c r="GSO7" s="71"/>
      <c r="GSP7" s="71"/>
      <c r="GSQ7" s="71"/>
      <c r="GSR7" s="71"/>
      <c r="GSS7" s="71"/>
      <c r="GST7" s="71"/>
      <c r="GSU7" s="71"/>
      <c r="GSV7" s="71"/>
      <c r="GSW7" s="71"/>
      <c r="GSX7" s="71"/>
      <c r="GSY7" s="71"/>
      <c r="GSZ7" s="71"/>
      <c r="GTA7" s="71"/>
      <c r="GTB7" s="71"/>
      <c r="GTC7" s="71"/>
      <c r="GTD7" s="71"/>
      <c r="GTE7" s="71"/>
      <c r="GTF7" s="71"/>
      <c r="GTG7" s="71"/>
      <c r="GTH7" s="71"/>
      <c r="GTI7" s="71"/>
      <c r="GTJ7" s="71"/>
      <c r="GTK7" s="71"/>
      <c r="GTL7" s="71"/>
      <c r="GTM7" s="71"/>
      <c r="GTN7" s="71"/>
      <c r="GTO7" s="71"/>
      <c r="GTP7" s="71"/>
      <c r="GTQ7" s="71"/>
      <c r="GTR7" s="71"/>
      <c r="GTS7" s="71"/>
      <c r="GTT7" s="71"/>
      <c r="GTU7" s="71"/>
      <c r="GTV7" s="71"/>
      <c r="GTW7" s="71"/>
      <c r="GTX7" s="71"/>
      <c r="GTY7" s="71"/>
      <c r="GTZ7" s="71"/>
      <c r="GUA7" s="71"/>
      <c r="GUB7" s="71"/>
      <c r="GUC7" s="71"/>
      <c r="GUD7" s="71"/>
      <c r="GUE7" s="71"/>
      <c r="GUF7" s="71"/>
      <c r="GUG7" s="71"/>
      <c r="GUH7" s="71"/>
      <c r="GUI7" s="71"/>
      <c r="GUJ7" s="71"/>
      <c r="GUK7" s="71"/>
      <c r="GUL7" s="71"/>
      <c r="GUM7" s="71"/>
      <c r="GUN7" s="71"/>
      <c r="GUO7" s="71"/>
      <c r="GUP7" s="71"/>
      <c r="GUQ7" s="71"/>
      <c r="GUR7" s="71"/>
      <c r="GUS7" s="71"/>
      <c r="GUT7" s="71"/>
      <c r="GUU7" s="71"/>
      <c r="GUV7" s="71"/>
      <c r="GUW7" s="71"/>
      <c r="GUX7" s="71"/>
      <c r="GUY7" s="71"/>
      <c r="GUZ7" s="71"/>
      <c r="GVA7" s="71"/>
      <c r="GVB7" s="71"/>
      <c r="GVC7" s="71"/>
      <c r="GVD7" s="71"/>
      <c r="GVE7" s="71"/>
      <c r="GVF7" s="71"/>
      <c r="GVG7" s="71"/>
      <c r="GVH7" s="71"/>
      <c r="GVI7" s="71"/>
      <c r="GVJ7" s="71"/>
      <c r="GVK7" s="71"/>
      <c r="GVL7" s="71"/>
      <c r="GVM7" s="71"/>
      <c r="GVN7" s="71"/>
      <c r="GVO7" s="71"/>
      <c r="GVP7" s="71"/>
      <c r="GVQ7" s="71"/>
      <c r="GVR7" s="71"/>
      <c r="GVS7" s="71"/>
      <c r="GVT7" s="71"/>
      <c r="GVU7" s="71"/>
      <c r="GVV7" s="71"/>
      <c r="GVW7" s="71"/>
      <c r="GVX7" s="71"/>
      <c r="GVY7" s="71"/>
      <c r="GVZ7" s="71"/>
      <c r="GWA7" s="71"/>
      <c r="GWB7" s="71"/>
      <c r="GWC7" s="71"/>
      <c r="GWD7" s="71"/>
      <c r="GWE7" s="71"/>
      <c r="GWF7" s="71"/>
      <c r="GWG7" s="71"/>
      <c r="GWH7" s="71"/>
      <c r="GWI7" s="71"/>
      <c r="GWJ7" s="71"/>
      <c r="GWK7" s="71"/>
      <c r="GWL7" s="71"/>
      <c r="GWM7" s="71"/>
      <c r="GWN7" s="71"/>
      <c r="GWO7" s="71"/>
      <c r="GWP7" s="71"/>
      <c r="GWQ7" s="71"/>
      <c r="GWR7" s="71"/>
      <c r="GWS7" s="71"/>
      <c r="GWT7" s="71"/>
      <c r="GWU7" s="71"/>
      <c r="GWV7" s="71"/>
      <c r="GWW7" s="71"/>
      <c r="GWX7" s="71"/>
      <c r="GWY7" s="71"/>
      <c r="GWZ7" s="71"/>
      <c r="GXA7" s="71"/>
      <c r="GXB7" s="71"/>
      <c r="GXC7" s="71"/>
      <c r="GXD7" s="71"/>
      <c r="GXE7" s="71"/>
      <c r="GXF7" s="71"/>
      <c r="GXG7" s="71"/>
      <c r="GXH7" s="71"/>
      <c r="GXI7" s="71"/>
      <c r="GXJ7" s="71"/>
      <c r="GXK7" s="71"/>
      <c r="GXL7" s="71"/>
      <c r="GXM7" s="71"/>
      <c r="GXN7" s="71"/>
      <c r="GXO7" s="71"/>
      <c r="GXP7" s="71"/>
      <c r="GXQ7" s="71"/>
      <c r="GXR7" s="71"/>
      <c r="GXS7" s="71"/>
      <c r="GXT7" s="71"/>
      <c r="GXU7" s="71"/>
      <c r="GXV7" s="71"/>
      <c r="GXW7" s="71"/>
      <c r="GXX7" s="71"/>
      <c r="GXY7" s="71"/>
      <c r="GXZ7" s="71"/>
      <c r="GYA7" s="71"/>
      <c r="GYB7" s="71"/>
      <c r="GYC7" s="71"/>
      <c r="GYD7" s="71"/>
      <c r="GYE7" s="71"/>
      <c r="GYF7" s="71"/>
      <c r="GYG7" s="71"/>
      <c r="GYH7" s="71"/>
      <c r="GYI7" s="71"/>
      <c r="GYJ7" s="71"/>
      <c r="GYK7" s="71"/>
      <c r="GYL7" s="71"/>
      <c r="GYM7" s="71"/>
      <c r="GYN7" s="71"/>
      <c r="GYO7" s="71"/>
      <c r="GYP7" s="71"/>
      <c r="GYQ7" s="71"/>
      <c r="GYR7" s="71"/>
      <c r="GYS7" s="71"/>
      <c r="GYT7" s="71"/>
      <c r="GYU7" s="71"/>
      <c r="GYV7" s="71"/>
      <c r="GYW7" s="71"/>
      <c r="GYX7" s="71"/>
      <c r="GYY7" s="71"/>
      <c r="GYZ7" s="71"/>
      <c r="GZA7" s="71"/>
      <c r="GZB7" s="71"/>
      <c r="GZC7" s="71"/>
      <c r="GZD7" s="71"/>
      <c r="GZE7" s="71"/>
      <c r="GZF7" s="71"/>
      <c r="GZG7" s="71"/>
      <c r="GZH7" s="71"/>
      <c r="GZI7" s="71"/>
      <c r="GZJ7" s="71"/>
      <c r="GZK7" s="71"/>
      <c r="GZL7" s="71"/>
      <c r="GZM7" s="71"/>
      <c r="GZN7" s="71"/>
      <c r="GZO7" s="71"/>
      <c r="GZP7" s="71"/>
      <c r="GZQ7" s="71"/>
      <c r="GZR7" s="71"/>
      <c r="GZS7" s="71"/>
      <c r="GZT7" s="71"/>
      <c r="GZU7" s="71"/>
      <c r="GZV7" s="71"/>
      <c r="GZW7" s="71"/>
      <c r="GZX7" s="71"/>
      <c r="GZY7" s="71"/>
      <c r="GZZ7" s="71"/>
      <c r="HAA7" s="71"/>
      <c r="HAB7" s="71"/>
      <c r="HAC7" s="71"/>
      <c r="HAD7" s="71"/>
      <c r="HAE7" s="71"/>
      <c r="HAF7" s="71"/>
      <c r="HAG7" s="71"/>
      <c r="HAH7" s="71"/>
      <c r="HAI7" s="71"/>
      <c r="HAJ7" s="71"/>
      <c r="HAK7" s="71"/>
      <c r="HAL7" s="71"/>
      <c r="HAM7" s="71"/>
      <c r="HAN7" s="71"/>
      <c r="HAO7" s="71"/>
      <c r="HAP7" s="71"/>
      <c r="HAQ7" s="71"/>
      <c r="HAR7" s="71"/>
      <c r="HAS7" s="71"/>
      <c r="HAT7" s="71"/>
      <c r="HAU7" s="71"/>
      <c r="HAV7" s="71"/>
      <c r="HAW7" s="71"/>
      <c r="HAX7" s="71"/>
      <c r="HAY7" s="71"/>
      <c r="HAZ7" s="71"/>
      <c r="HBA7" s="71"/>
      <c r="HBB7" s="71"/>
      <c r="HBC7" s="71"/>
      <c r="HBD7" s="71"/>
      <c r="HBE7" s="71"/>
      <c r="HBF7" s="71"/>
      <c r="HBG7" s="71"/>
      <c r="HBH7" s="71"/>
      <c r="HBI7" s="71"/>
      <c r="HBJ7" s="71"/>
      <c r="HBK7" s="71"/>
      <c r="HBL7" s="71"/>
      <c r="HBM7" s="71"/>
      <c r="HBN7" s="71"/>
      <c r="HBO7" s="71"/>
      <c r="HBP7" s="71"/>
      <c r="HBQ7" s="71"/>
      <c r="HBR7" s="71"/>
      <c r="HBS7" s="71"/>
      <c r="HBT7" s="71"/>
      <c r="HBU7" s="71"/>
      <c r="HBV7" s="71"/>
      <c r="HBW7" s="71"/>
      <c r="HBX7" s="71"/>
      <c r="HBY7" s="71"/>
      <c r="HBZ7" s="71"/>
      <c r="HCA7" s="71"/>
      <c r="HCB7" s="71"/>
      <c r="HCC7" s="71"/>
      <c r="HCD7" s="71"/>
      <c r="HCE7" s="71"/>
      <c r="HCF7" s="71"/>
      <c r="HCG7" s="71"/>
      <c r="HCH7" s="71"/>
      <c r="HCI7" s="71"/>
      <c r="HCJ7" s="71"/>
      <c r="HCK7" s="71"/>
      <c r="HCL7" s="71"/>
      <c r="HCM7" s="71"/>
      <c r="HCN7" s="71"/>
      <c r="HCO7" s="71"/>
      <c r="HCP7" s="71"/>
      <c r="HCQ7" s="71"/>
      <c r="HCR7" s="71"/>
      <c r="HCS7" s="71"/>
      <c r="HCT7" s="71"/>
      <c r="HCU7" s="71"/>
      <c r="HCV7" s="71"/>
      <c r="HCW7" s="71"/>
      <c r="HCX7" s="71"/>
      <c r="HCY7" s="71"/>
      <c r="HCZ7" s="71"/>
      <c r="HDA7" s="71"/>
      <c r="HDB7" s="71"/>
      <c r="HDC7" s="71"/>
      <c r="HDD7" s="71"/>
      <c r="HDE7" s="71"/>
      <c r="HDF7" s="71"/>
      <c r="HDG7" s="71"/>
      <c r="HDH7" s="71"/>
      <c r="HDI7" s="71"/>
      <c r="HDJ7" s="71"/>
      <c r="HDK7" s="71"/>
      <c r="HDL7" s="71"/>
      <c r="HDM7" s="71"/>
      <c r="HDN7" s="71"/>
      <c r="HDO7" s="71"/>
      <c r="HDP7" s="71"/>
      <c r="HDQ7" s="71"/>
      <c r="HDR7" s="71"/>
      <c r="HDS7" s="71"/>
      <c r="HDT7" s="71"/>
      <c r="HDU7" s="71"/>
      <c r="HDV7" s="71"/>
      <c r="HDW7" s="71"/>
      <c r="HDX7" s="71"/>
      <c r="HDY7" s="71"/>
      <c r="HDZ7" s="71"/>
      <c r="HEA7" s="71"/>
      <c r="HEB7" s="71"/>
      <c r="HEC7" s="71"/>
      <c r="HED7" s="71"/>
      <c r="HEE7" s="71"/>
      <c r="HEF7" s="71"/>
      <c r="HEG7" s="71"/>
      <c r="HEH7" s="71"/>
      <c r="HEI7" s="71"/>
      <c r="HEJ7" s="71"/>
      <c r="HEK7" s="71"/>
      <c r="HEL7" s="71"/>
      <c r="HEM7" s="71"/>
      <c r="HEN7" s="71"/>
      <c r="HEO7" s="71"/>
      <c r="HEP7" s="71"/>
      <c r="HEQ7" s="71"/>
      <c r="HER7" s="71"/>
      <c r="HES7" s="71"/>
      <c r="HET7" s="71"/>
      <c r="HEU7" s="71"/>
      <c r="HEV7" s="71"/>
      <c r="HEW7" s="71"/>
      <c r="HEX7" s="71"/>
      <c r="HEY7" s="71"/>
      <c r="HEZ7" s="71"/>
      <c r="HFA7" s="71"/>
      <c r="HFB7" s="71"/>
      <c r="HFC7" s="71"/>
      <c r="HFD7" s="71"/>
      <c r="HFE7" s="71"/>
      <c r="HFF7" s="71"/>
      <c r="HFG7" s="71"/>
      <c r="HFH7" s="71"/>
      <c r="HFI7" s="71"/>
      <c r="HFJ7" s="71"/>
      <c r="HFK7" s="71"/>
      <c r="HFL7" s="71"/>
      <c r="HFM7" s="71"/>
      <c r="HFN7" s="71"/>
      <c r="HFO7" s="71"/>
      <c r="HFP7" s="71"/>
      <c r="HFQ7" s="71"/>
      <c r="HFR7" s="71"/>
      <c r="HFS7" s="71"/>
      <c r="HFT7" s="71"/>
      <c r="HFU7" s="71"/>
      <c r="HFV7" s="71"/>
      <c r="HFW7" s="71"/>
      <c r="HFX7" s="71"/>
      <c r="HFY7" s="71"/>
      <c r="HFZ7" s="71"/>
      <c r="HGA7" s="71"/>
      <c r="HGB7" s="71"/>
      <c r="HGC7" s="71"/>
      <c r="HGD7" s="71"/>
      <c r="HGE7" s="71"/>
      <c r="HGF7" s="71"/>
      <c r="HGG7" s="71"/>
      <c r="HGH7" s="71"/>
      <c r="HGI7" s="71"/>
      <c r="HGJ7" s="71"/>
      <c r="HGK7" s="71"/>
      <c r="HGL7" s="71"/>
      <c r="HGM7" s="71"/>
      <c r="HGN7" s="71"/>
      <c r="HGO7" s="71"/>
      <c r="HGP7" s="71"/>
      <c r="HGQ7" s="71"/>
      <c r="HGR7" s="71"/>
      <c r="HGS7" s="71"/>
      <c r="HGT7" s="71"/>
      <c r="HGU7" s="71"/>
      <c r="HGV7" s="71"/>
      <c r="HGW7" s="71"/>
      <c r="HGX7" s="71"/>
      <c r="HGY7" s="71"/>
      <c r="HGZ7" s="71"/>
      <c r="HHA7" s="71"/>
      <c r="HHB7" s="71"/>
      <c r="HHC7" s="71"/>
      <c r="HHD7" s="71"/>
      <c r="HHE7" s="71"/>
      <c r="HHF7" s="71"/>
      <c r="HHG7" s="71"/>
      <c r="HHH7" s="71"/>
      <c r="HHI7" s="71"/>
      <c r="HHJ7" s="71"/>
      <c r="HHK7" s="71"/>
      <c r="HHL7" s="71"/>
      <c r="HHM7" s="71"/>
      <c r="HHN7" s="71"/>
      <c r="HHO7" s="71"/>
      <c r="HHP7" s="71"/>
      <c r="HHQ7" s="71"/>
      <c r="HHR7" s="71"/>
      <c r="HHS7" s="71"/>
      <c r="HHT7" s="71"/>
      <c r="HHU7" s="71"/>
      <c r="HHV7" s="71"/>
      <c r="HHW7" s="71"/>
      <c r="HHX7" s="71"/>
      <c r="HHY7" s="71"/>
      <c r="HHZ7" s="71"/>
      <c r="HIA7" s="71"/>
      <c r="HIB7" s="71"/>
      <c r="HIC7" s="71"/>
      <c r="HID7" s="71"/>
      <c r="HIE7" s="71"/>
      <c r="HIF7" s="71"/>
      <c r="HIG7" s="71"/>
      <c r="HIH7" s="71"/>
      <c r="HII7" s="71"/>
      <c r="HIJ7" s="71"/>
      <c r="HIK7" s="71"/>
      <c r="HIL7" s="71"/>
      <c r="HIM7" s="71"/>
      <c r="HIN7" s="71"/>
      <c r="HIO7" s="71"/>
      <c r="HIP7" s="71"/>
      <c r="HIQ7" s="71"/>
      <c r="HIR7" s="71"/>
      <c r="HIS7" s="71"/>
      <c r="HIT7" s="71"/>
      <c r="HIU7" s="71"/>
      <c r="HIV7" s="71"/>
      <c r="HIW7" s="71"/>
      <c r="HIX7" s="71"/>
      <c r="HIY7" s="71"/>
      <c r="HIZ7" s="71"/>
      <c r="HJA7" s="71"/>
      <c r="HJB7" s="71"/>
      <c r="HJC7" s="71"/>
      <c r="HJD7" s="71"/>
      <c r="HJE7" s="71"/>
      <c r="HJF7" s="71"/>
      <c r="HJG7" s="71"/>
      <c r="HJH7" s="71"/>
      <c r="HJI7" s="71"/>
      <c r="HJJ7" s="71"/>
      <c r="HJK7" s="71"/>
      <c r="HJL7" s="71"/>
      <c r="HJM7" s="71"/>
      <c r="HJN7" s="71"/>
      <c r="HJO7" s="71"/>
      <c r="HJP7" s="71"/>
      <c r="HJQ7" s="71"/>
      <c r="HJR7" s="71"/>
      <c r="HJS7" s="71"/>
      <c r="HJT7" s="71"/>
      <c r="HJU7" s="71"/>
      <c r="HJV7" s="71"/>
      <c r="HJW7" s="71"/>
      <c r="HJX7" s="71"/>
      <c r="HJY7" s="71"/>
      <c r="HJZ7" s="71"/>
      <c r="HKA7" s="71"/>
      <c r="HKB7" s="71"/>
      <c r="HKC7" s="71"/>
      <c r="HKD7" s="71"/>
      <c r="HKE7" s="71"/>
      <c r="HKF7" s="71"/>
      <c r="HKG7" s="71"/>
      <c r="HKH7" s="71"/>
      <c r="HKI7" s="71"/>
      <c r="HKJ7" s="71"/>
      <c r="HKK7" s="71"/>
      <c r="HKL7" s="71"/>
      <c r="HKM7" s="71"/>
      <c r="HKN7" s="71"/>
      <c r="HKO7" s="71"/>
      <c r="HKP7" s="71"/>
      <c r="HKQ7" s="71"/>
      <c r="HKR7" s="71"/>
      <c r="HKS7" s="71"/>
      <c r="HKT7" s="71"/>
      <c r="HKU7" s="71"/>
      <c r="HKV7" s="71"/>
      <c r="HKW7" s="71"/>
      <c r="HKX7" s="71"/>
      <c r="HKY7" s="71"/>
      <c r="HKZ7" s="71"/>
      <c r="HLA7" s="71"/>
      <c r="HLB7" s="71"/>
      <c r="HLC7" s="71"/>
      <c r="HLD7" s="71"/>
      <c r="HLE7" s="71"/>
      <c r="HLF7" s="71"/>
      <c r="HLG7" s="71"/>
      <c r="HLH7" s="71"/>
      <c r="HLI7" s="71"/>
      <c r="HLJ7" s="71"/>
      <c r="HLK7" s="71"/>
      <c r="HLL7" s="71"/>
      <c r="HLM7" s="71"/>
      <c r="HLN7" s="71"/>
      <c r="HLO7" s="71"/>
      <c r="HLP7" s="71"/>
      <c r="HLQ7" s="71"/>
      <c r="HLR7" s="71"/>
      <c r="HLS7" s="71"/>
      <c r="HLT7" s="71"/>
      <c r="HLU7" s="71"/>
      <c r="HLV7" s="71"/>
      <c r="HLW7" s="71"/>
      <c r="HLX7" s="71"/>
      <c r="HLY7" s="71"/>
      <c r="HLZ7" s="71"/>
      <c r="HMA7" s="71"/>
      <c r="HMB7" s="71"/>
      <c r="HMC7" s="71"/>
      <c r="HMD7" s="71"/>
      <c r="HME7" s="71"/>
      <c r="HMF7" s="71"/>
      <c r="HMG7" s="71"/>
      <c r="HMH7" s="71"/>
      <c r="HMI7" s="71"/>
      <c r="HMJ7" s="71"/>
      <c r="HMK7" s="71"/>
      <c r="HML7" s="71"/>
      <c r="HMM7" s="71"/>
      <c r="HMN7" s="71"/>
      <c r="HMO7" s="71"/>
      <c r="HMP7" s="71"/>
      <c r="HMQ7" s="71"/>
      <c r="HMR7" s="71"/>
      <c r="HMS7" s="71"/>
      <c r="HMT7" s="71"/>
      <c r="HMU7" s="71"/>
      <c r="HMV7" s="71"/>
      <c r="HMW7" s="71"/>
      <c r="HMX7" s="71"/>
      <c r="HMY7" s="71"/>
      <c r="HMZ7" s="71"/>
      <c r="HNA7" s="71"/>
      <c r="HNB7" s="71"/>
      <c r="HNC7" s="71"/>
      <c r="HND7" s="71"/>
      <c r="HNE7" s="71"/>
      <c r="HNF7" s="71"/>
      <c r="HNG7" s="71"/>
      <c r="HNH7" s="71"/>
      <c r="HNI7" s="71"/>
      <c r="HNJ7" s="71"/>
      <c r="HNK7" s="71"/>
      <c r="HNL7" s="71"/>
      <c r="HNM7" s="71"/>
      <c r="HNN7" s="71"/>
      <c r="HNO7" s="71"/>
      <c r="HNP7" s="71"/>
      <c r="HNQ7" s="71"/>
      <c r="HNR7" s="71"/>
      <c r="HNS7" s="71"/>
      <c r="HNT7" s="71"/>
      <c r="HNU7" s="71"/>
      <c r="HNV7" s="71"/>
      <c r="HNW7" s="71"/>
      <c r="HNX7" s="71"/>
      <c r="HNY7" s="71"/>
      <c r="HNZ7" s="71"/>
      <c r="HOA7" s="71"/>
      <c r="HOB7" s="71"/>
      <c r="HOC7" s="71"/>
      <c r="HOD7" s="71"/>
      <c r="HOE7" s="71"/>
      <c r="HOF7" s="71"/>
      <c r="HOG7" s="71"/>
      <c r="HOH7" s="71"/>
      <c r="HOI7" s="71"/>
      <c r="HOJ7" s="71"/>
      <c r="HOK7" s="71"/>
      <c r="HOL7" s="71"/>
      <c r="HOM7" s="71"/>
      <c r="HON7" s="71"/>
      <c r="HOO7" s="71"/>
      <c r="HOP7" s="71"/>
      <c r="HOQ7" s="71"/>
      <c r="HOR7" s="71"/>
      <c r="HOS7" s="71"/>
      <c r="HOT7" s="71"/>
      <c r="HOU7" s="71"/>
      <c r="HOV7" s="71"/>
      <c r="HOW7" s="71"/>
      <c r="HOX7" s="71"/>
      <c r="HOY7" s="71"/>
      <c r="HOZ7" s="71"/>
      <c r="HPA7" s="71"/>
      <c r="HPB7" s="71"/>
      <c r="HPC7" s="71"/>
      <c r="HPD7" s="71"/>
      <c r="HPE7" s="71"/>
      <c r="HPF7" s="71"/>
      <c r="HPG7" s="71"/>
      <c r="HPH7" s="71"/>
      <c r="HPI7" s="71"/>
      <c r="HPJ7" s="71"/>
      <c r="HPK7" s="71"/>
      <c r="HPL7" s="71"/>
      <c r="HPM7" s="71"/>
      <c r="HPN7" s="71"/>
      <c r="HPO7" s="71"/>
      <c r="HPP7" s="71"/>
      <c r="HPQ7" s="71"/>
      <c r="HPR7" s="71"/>
      <c r="HPS7" s="71"/>
      <c r="HPT7" s="71"/>
      <c r="HPU7" s="71"/>
      <c r="HPV7" s="71"/>
      <c r="HPW7" s="71"/>
      <c r="HPX7" s="71"/>
      <c r="HPY7" s="71"/>
      <c r="HPZ7" s="71"/>
      <c r="HQA7" s="71"/>
      <c r="HQB7" s="71"/>
      <c r="HQC7" s="71"/>
      <c r="HQD7" s="71"/>
      <c r="HQE7" s="71"/>
      <c r="HQF7" s="71"/>
      <c r="HQG7" s="71"/>
      <c r="HQH7" s="71"/>
      <c r="HQI7" s="71"/>
      <c r="HQJ7" s="71"/>
      <c r="HQK7" s="71"/>
      <c r="HQL7" s="71"/>
      <c r="HQM7" s="71"/>
      <c r="HQN7" s="71"/>
      <c r="HQO7" s="71"/>
      <c r="HQP7" s="71"/>
      <c r="HQQ7" s="71"/>
      <c r="HQR7" s="71"/>
      <c r="HQS7" s="71"/>
      <c r="HQT7" s="71"/>
      <c r="HQU7" s="71"/>
      <c r="HQV7" s="71"/>
      <c r="HQW7" s="71"/>
      <c r="HQX7" s="71"/>
      <c r="HQY7" s="71"/>
      <c r="HQZ7" s="71"/>
      <c r="HRA7" s="71"/>
      <c r="HRB7" s="71"/>
      <c r="HRC7" s="71"/>
      <c r="HRD7" s="71"/>
      <c r="HRE7" s="71"/>
      <c r="HRF7" s="71"/>
      <c r="HRG7" s="71"/>
      <c r="HRH7" s="71"/>
      <c r="HRI7" s="71"/>
      <c r="HRJ7" s="71"/>
      <c r="HRK7" s="71"/>
      <c r="HRL7" s="71"/>
      <c r="HRM7" s="71"/>
      <c r="HRN7" s="71"/>
      <c r="HRO7" s="71"/>
      <c r="HRP7" s="71"/>
      <c r="HRQ7" s="71"/>
      <c r="HRR7" s="71"/>
      <c r="HRS7" s="71"/>
      <c r="HRT7" s="71"/>
      <c r="HRU7" s="71"/>
      <c r="HRV7" s="71"/>
      <c r="HRW7" s="71"/>
      <c r="HRX7" s="71"/>
      <c r="HRY7" s="71"/>
      <c r="HRZ7" s="71"/>
      <c r="HSA7" s="71"/>
      <c r="HSB7" s="71"/>
      <c r="HSC7" s="71"/>
      <c r="HSD7" s="71"/>
      <c r="HSE7" s="71"/>
      <c r="HSF7" s="71"/>
      <c r="HSG7" s="71"/>
      <c r="HSH7" s="71"/>
      <c r="HSI7" s="71"/>
      <c r="HSJ7" s="71"/>
      <c r="HSK7" s="71"/>
      <c r="HSL7" s="71"/>
      <c r="HSM7" s="71"/>
      <c r="HSN7" s="71"/>
      <c r="HSO7" s="71"/>
      <c r="HSP7" s="71"/>
      <c r="HSQ7" s="71"/>
      <c r="HSR7" s="71"/>
      <c r="HSS7" s="71"/>
      <c r="HST7" s="71"/>
      <c r="HSU7" s="71"/>
      <c r="HSV7" s="71"/>
      <c r="HSW7" s="71"/>
      <c r="HSX7" s="71"/>
      <c r="HSY7" s="71"/>
      <c r="HSZ7" s="71"/>
      <c r="HTA7" s="71"/>
      <c r="HTB7" s="71"/>
      <c r="HTC7" s="71"/>
      <c r="HTD7" s="71"/>
      <c r="HTE7" s="71"/>
      <c r="HTF7" s="71"/>
      <c r="HTG7" s="71"/>
      <c r="HTH7" s="71"/>
      <c r="HTI7" s="71"/>
      <c r="HTJ7" s="71"/>
      <c r="HTK7" s="71"/>
      <c r="HTL7" s="71"/>
      <c r="HTM7" s="71"/>
      <c r="HTN7" s="71"/>
      <c r="HTO7" s="71"/>
      <c r="HTP7" s="71"/>
      <c r="HTQ7" s="71"/>
      <c r="HTR7" s="71"/>
      <c r="HTS7" s="71"/>
      <c r="HTT7" s="71"/>
      <c r="HTU7" s="71"/>
      <c r="HTV7" s="71"/>
      <c r="HTW7" s="71"/>
      <c r="HTX7" s="71"/>
      <c r="HTY7" s="71"/>
      <c r="HTZ7" s="71"/>
      <c r="HUA7" s="71"/>
      <c r="HUB7" s="71"/>
      <c r="HUC7" s="71"/>
      <c r="HUD7" s="71"/>
      <c r="HUE7" s="71"/>
      <c r="HUF7" s="71"/>
      <c r="HUG7" s="71"/>
      <c r="HUH7" s="71"/>
      <c r="HUI7" s="71"/>
      <c r="HUJ7" s="71"/>
      <c r="HUK7" s="71"/>
      <c r="HUL7" s="71"/>
      <c r="HUM7" s="71"/>
      <c r="HUN7" s="71"/>
      <c r="HUO7" s="71"/>
      <c r="HUP7" s="71"/>
      <c r="HUQ7" s="71"/>
      <c r="HUR7" s="71"/>
      <c r="HUS7" s="71"/>
      <c r="HUT7" s="71"/>
      <c r="HUU7" s="71"/>
      <c r="HUV7" s="71"/>
      <c r="HUW7" s="71"/>
      <c r="HUX7" s="71"/>
      <c r="HUY7" s="71"/>
      <c r="HUZ7" s="71"/>
      <c r="HVA7" s="71"/>
      <c r="HVB7" s="71"/>
      <c r="HVC7" s="71"/>
      <c r="HVD7" s="71"/>
      <c r="HVE7" s="71"/>
      <c r="HVF7" s="71"/>
      <c r="HVG7" s="71"/>
      <c r="HVH7" s="71"/>
      <c r="HVI7" s="71"/>
      <c r="HVJ7" s="71"/>
      <c r="HVK7" s="71"/>
      <c r="HVL7" s="71"/>
      <c r="HVM7" s="71"/>
      <c r="HVN7" s="71"/>
      <c r="HVO7" s="71"/>
      <c r="HVP7" s="71"/>
      <c r="HVQ7" s="71"/>
      <c r="HVR7" s="71"/>
      <c r="HVS7" s="71"/>
      <c r="HVT7" s="71"/>
      <c r="HVU7" s="71"/>
      <c r="HVV7" s="71"/>
      <c r="HVW7" s="71"/>
      <c r="HVX7" s="71"/>
      <c r="HVY7" s="71"/>
      <c r="HVZ7" s="71"/>
      <c r="HWA7" s="71"/>
      <c r="HWB7" s="71"/>
      <c r="HWC7" s="71"/>
      <c r="HWD7" s="71"/>
      <c r="HWE7" s="71"/>
      <c r="HWF7" s="71"/>
      <c r="HWG7" s="71"/>
      <c r="HWH7" s="71"/>
      <c r="HWI7" s="71"/>
      <c r="HWJ7" s="71"/>
      <c r="HWK7" s="71"/>
      <c r="HWL7" s="71"/>
      <c r="HWM7" s="71"/>
      <c r="HWN7" s="71"/>
      <c r="HWO7" s="71"/>
      <c r="HWP7" s="71"/>
      <c r="HWQ7" s="71"/>
      <c r="HWR7" s="71"/>
      <c r="HWS7" s="71"/>
      <c r="HWT7" s="71"/>
      <c r="HWU7" s="71"/>
      <c r="HWV7" s="71"/>
      <c r="HWW7" s="71"/>
      <c r="HWX7" s="71"/>
      <c r="HWY7" s="71"/>
      <c r="HWZ7" s="71"/>
      <c r="HXA7" s="71"/>
      <c r="HXB7" s="71"/>
      <c r="HXC7" s="71"/>
      <c r="HXD7" s="71"/>
      <c r="HXE7" s="71"/>
      <c r="HXF7" s="71"/>
      <c r="HXG7" s="71"/>
      <c r="HXH7" s="71"/>
      <c r="HXI7" s="71"/>
      <c r="HXJ7" s="71"/>
      <c r="HXK7" s="71"/>
      <c r="HXL7" s="71"/>
      <c r="HXM7" s="71"/>
      <c r="HXN7" s="71"/>
      <c r="HXO7" s="71"/>
      <c r="HXP7" s="71"/>
      <c r="HXQ7" s="71"/>
      <c r="HXR7" s="71"/>
      <c r="HXS7" s="71"/>
      <c r="HXT7" s="71"/>
      <c r="HXU7" s="71"/>
      <c r="HXV7" s="71"/>
      <c r="HXW7" s="71"/>
      <c r="HXX7" s="71"/>
      <c r="HXY7" s="71"/>
      <c r="HXZ7" s="71"/>
      <c r="HYA7" s="71"/>
      <c r="HYB7" s="71"/>
      <c r="HYC7" s="71"/>
      <c r="HYD7" s="71"/>
      <c r="HYE7" s="71"/>
      <c r="HYF7" s="71"/>
      <c r="HYG7" s="71"/>
      <c r="HYH7" s="71"/>
      <c r="HYI7" s="71"/>
      <c r="HYJ7" s="71"/>
      <c r="HYK7" s="71"/>
      <c r="HYL7" s="71"/>
      <c r="HYM7" s="71"/>
      <c r="HYN7" s="71"/>
      <c r="HYO7" s="71"/>
      <c r="HYP7" s="71"/>
      <c r="HYQ7" s="71"/>
      <c r="HYR7" s="71"/>
      <c r="HYS7" s="71"/>
      <c r="HYT7" s="71"/>
      <c r="HYU7" s="71"/>
      <c r="HYV7" s="71"/>
      <c r="HYW7" s="71"/>
      <c r="HYX7" s="71"/>
      <c r="HYY7" s="71"/>
      <c r="HYZ7" s="71"/>
      <c r="HZA7" s="71"/>
      <c r="HZB7" s="71"/>
      <c r="HZC7" s="71"/>
      <c r="HZD7" s="71"/>
      <c r="HZE7" s="71"/>
      <c r="HZF7" s="71"/>
      <c r="HZG7" s="71"/>
      <c r="HZH7" s="71"/>
      <c r="HZI7" s="71"/>
      <c r="HZJ7" s="71"/>
      <c r="HZK7" s="71"/>
      <c r="HZL7" s="71"/>
      <c r="HZM7" s="71"/>
      <c r="HZN7" s="71"/>
      <c r="HZO7" s="71"/>
      <c r="HZP7" s="71"/>
      <c r="HZQ7" s="71"/>
      <c r="HZR7" s="71"/>
      <c r="HZS7" s="71"/>
      <c r="HZT7" s="71"/>
      <c r="HZU7" s="71"/>
      <c r="HZV7" s="71"/>
      <c r="HZW7" s="71"/>
      <c r="HZX7" s="71"/>
      <c r="HZY7" s="71"/>
      <c r="HZZ7" s="71"/>
      <c r="IAA7" s="71"/>
      <c r="IAB7" s="71"/>
      <c r="IAC7" s="71"/>
      <c r="IAD7" s="71"/>
      <c r="IAE7" s="71"/>
      <c r="IAF7" s="71"/>
      <c r="IAG7" s="71"/>
      <c r="IAH7" s="71"/>
      <c r="IAI7" s="71"/>
      <c r="IAJ7" s="71"/>
      <c r="IAK7" s="71"/>
      <c r="IAL7" s="71"/>
      <c r="IAM7" s="71"/>
      <c r="IAN7" s="71"/>
      <c r="IAO7" s="71"/>
      <c r="IAP7" s="71"/>
      <c r="IAQ7" s="71"/>
      <c r="IAR7" s="71"/>
      <c r="IAS7" s="71"/>
      <c r="IAT7" s="71"/>
      <c r="IAU7" s="71"/>
      <c r="IAV7" s="71"/>
      <c r="IAW7" s="71"/>
      <c r="IAX7" s="71"/>
      <c r="IAY7" s="71"/>
      <c r="IAZ7" s="71"/>
      <c r="IBA7" s="71"/>
      <c r="IBB7" s="71"/>
      <c r="IBC7" s="71"/>
      <c r="IBD7" s="71"/>
      <c r="IBE7" s="71"/>
      <c r="IBF7" s="71"/>
      <c r="IBG7" s="71"/>
      <c r="IBH7" s="71"/>
      <c r="IBI7" s="71"/>
      <c r="IBJ7" s="71"/>
      <c r="IBK7" s="71"/>
      <c r="IBL7" s="71"/>
      <c r="IBM7" s="71"/>
      <c r="IBN7" s="71"/>
      <c r="IBO7" s="71"/>
      <c r="IBP7" s="71"/>
      <c r="IBQ7" s="71"/>
      <c r="IBR7" s="71"/>
      <c r="IBS7" s="71"/>
      <c r="IBT7" s="71"/>
      <c r="IBU7" s="71"/>
      <c r="IBV7" s="71"/>
      <c r="IBW7" s="71"/>
      <c r="IBX7" s="71"/>
      <c r="IBY7" s="71"/>
      <c r="IBZ7" s="71"/>
      <c r="ICA7" s="71"/>
      <c r="ICB7" s="71"/>
      <c r="ICC7" s="71"/>
      <c r="ICD7" s="71"/>
      <c r="ICE7" s="71"/>
      <c r="ICF7" s="71"/>
      <c r="ICG7" s="71"/>
      <c r="ICH7" s="71"/>
      <c r="ICI7" s="71"/>
      <c r="ICJ7" s="71"/>
      <c r="ICK7" s="71"/>
      <c r="ICL7" s="71"/>
      <c r="ICM7" s="71"/>
      <c r="ICN7" s="71"/>
      <c r="ICO7" s="71"/>
      <c r="ICP7" s="71"/>
      <c r="ICQ7" s="71"/>
      <c r="ICR7" s="71"/>
      <c r="ICS7" s="71"/>
      <c r="ICT7" s="71"/>
      <c r="ICU7" s="71"/>
      <c r="ICV7" s="71"/>
      <c r="ICW7" s="71"/>
      <c r="ICX7" s="71"/>
      <c r="ICY7" s="71"/>
      <c r="ICZ7" s="71"/>
      <c r="IDA7" s="71"/>
      <c r="IDB7" s="71"/>
      <c r="IDC7" s="71"/>
      <c r="IDD7" s="71"/>
      <c r="IDE7" s="71"/>
      <c r="IDF7" s="71"/>
      <c r="IDG7" s="71"/>
      <c r="IDH7" s="71"/>
      <c r="IDI7" s="71"/>
      <c r="IDJ7" s="71"/>
      <c r="IDK7" s="71"/>
      <c r="IDL7" s="71"/>
      <c r="IDM7" s="71"/>
      <c r="IDN7" s="71"/>
      <c r="IDO7" s="71"/>
      <c r="IDP7" s="71"/>
      <c r="IDQ7" s="71"/>
      <c r="IDR7" s="71"/>
      <c r="IDS7" s="71"/>
      <c r="IDT7" s="71"/>
      <c r="IDU7" s="71"/>
      <c r="IDV7" s="71"/>
      <c r="IDW7" s="71"/>
      <c r="IDX7" s="71"/>
      <c r="IDY7" s="71"/>
      <c r="IDZ7" s="71"/>
      <c r="IEA7" s="71"/>
      <c r="IEB7" s="71"/>
      <c r="IEC7" s="71"/>
      <c r="IED7" s="71"/>
      <c r="IEE7" s="71"/>
      <c r="IEF7" s="71"/>
      <c r="IEG7" s="71"/>
      <c r="IEH7" s="71"/>
      <c r="IEI7" s="71"/>
      <c r="IEJ7" s="71"/>
      <c r="IEK7" s="71"/>
      <c r="IEL7" s="71"/>
      <c r="IEM7" s="71"/>
      <c r="IEN7" s="71"/>
      <c r="IEO7" s="71"/>
      <c r="IEP7" s="71"/>
      <c r="IEQ7" s="71"/>
      <c r="IER7" s="71"/>
      <c r="IES7" s="71"/>
      <c r="IET7" s="71"/>
      <c r="IEU7" s="71"/>
      <c r="IEV7" s="71"/>
      <c r="IEW7" s="71"/>
      <c r="IEX7" s="71"/>
      <c r="IEY7" s="71"/>
      <c r="IEZ7" s="71"/>
      <c r="IFA7" s="71"/>
      <c r="IFB7" s="71"/>
      <c r="IFC7" s="71"/>
      <c r="IFD7" s="71"/>
      <c r="IFE7" s="71"/>
      <c r="IFF7" s="71"/>
      <c r="IFG7" s="71"/>
      <c r="IFH7" s="71"/>
      <c r="IFI7" s="71"/>
      <c r="IFJ7" s="71"/>
      <c r="IFK7" s="71"/>
      <c r="IFL7" s="71"/>
      <c r="IFM7" s="71"/>
      <c r="IFN7" s="71"/>
      <c r="IFO7" s="71"/>
      <c r="IFP7" s="71"/>
      <c r="IFQ7" s="71"/>
      <c r="IFR7" s="71"/>
      <c r="IFS7" s="71"/>
      <c r="IFT7" s="71"/>
      <c r="IFU7" s="71"/>
      <c r="IFV7" s="71"/>
      <c r="IFW7" s="71"/>
      <c r="IFX7" s="71"/>
      <c r="IFY7" s="71"/>
      <c r="IFZ7" s="71"/>
      <c r="IGA7" s="71"/>
      <c r="IGB7" s="71"/>
      <c r="IGC7" s="71"/>
      <c r="IGD7" s="71"/>
      <c r="IGE7" s="71"/>
      <c r="IGF7" s="71"/>
      <c r="IGG7" s="71"/>
      <c r="IGH7" s="71"/>
      <c r="IGI7" s="71"/>
      <c r="IGJ7" s="71"/>
      <c r="IGK7" s="71"/>
      <c r="IGL7" s="71"/>
      <c r="IGM7" s="71"/>
      <c r="IGN7" s="71"/>
      <c r="IGO7" s="71"/>
      <c r="IGP7" s="71"/>
      <c r="IGQ7" s="71"/>
      <c r="IGR7" s="71"/>
      <c r="IGS7" s="71"/>
      <c r="IGT7" s="71"/>
      <c r="IGU7" s="71"/>
      <c r="IGV7" s="71"/>
      <c r="IGW7" s="71"/>
      <c r="IGX7" s="71"/>
      <c r="IGY7" s="71"/>
      <c r="IGZ7" s="71"/>
      <c r="IHA7" s="71"/>
      <c r="IHB7" s="71"/>
      <c r="IHC7" s="71"/>
      <c r="IHD7" s="71"/>
      <c r="IHE7" s="71"/>
      <c r="IHF7" s="71"/>
      <c r="IHG7" s="71"/>
      <c r="IHH7" s="71"/>
      <c r="IHI7" s="71"/>
      <c r="IHJ7" s="71"/>
      <c r="IHK7" s="71"/>
      <c r="IHL7" s="71"/>
      <c r="IHM7" s="71"/>
      <c r="IHN7" s="71"/>
      <c r="IHO7" s="71"/>
      <c r="IHP7" s="71"/>
      <c r="IHQ7" s="71"/>
      <c r="IHR7" s="71"/>
      <c r="IHS7" s="71"/>
      <c r="IHT7" s="71"/>
      <c r="IHU7" s="71"/>
      <c r="IHV7" s="71"/>
      <c r="IHW7" s="71"/>
      <c r="IHX7" s="71"/>
      <c r="IHY7" s="71"/>
      <c r="IHZ7" s="71"/>
      <c r="IIA7" s="71"/>
      <c r="IIB7" s="71"/>
      <c r="IIC7" s="71"/>
      <c r="IID7" s="71"/>
      <c r="IIE7" s="71"/>
      <c r="IIF7" s="71"/>
      <c r="IIG7" s="71"/>
      <c r="IIH7" s="71"/>
      <c r="III7" s="71"/>
      <c r="IIJ7" s="71"/>
      <c r="IIK7" s="71"/>
      <c r="IIL7" s="71"/>
      <c r="IIM7" s="71"/>
      <c r="IIN7" s="71"/>
      <c r="IIO7" s="71"/>
      <c r="IIP7" s="71"/>
      <c r="IIQ7" s="71"/>
      <c r="IIR7" s="71"/>
      <c r="IIS7" s="71"/>
      <c r="IIT7" s="71"/>
      <c r="IIU7" s="71"/>
      <c r="IIV7" s="71"/>
      <c r="IIW7" s="71"/>
      <c r="IIX7" s="71"/>
      <c r="IIY7" s="71"/>
      <c r="IIZ7" s="71"/>
      <c r="IJA7" s="71"/>
      <c r="IJB7" s="71"/>
      <c r="IJC7" s="71"/>
      <c r="IJD7" s="71"/>
      <c r="IJE7" s="71"/>
      <c r="IJF7" s="71"/>
      <c r="IJG7" s="71"/>
      <c r="IJH7" s="71"/>
      <c r="IJI7" s="71"/>
      <c r="IJJ7" s="71"/>
      <c r="IJK7" s="71"/>
      <c r="IJL7" s="71"/>
      <c r="IJM7" s="71"/>
      <c r="IJN7" s="71"/>
      <c r="IJO7" s="71"/>
      <c r="IJP7" s="71"/>
      <c r="IJQ7" s="71"/>
      <c r="IJR7" s="71"/>
      <c r="IJS7" s="71"/>
      <c r="IJT7" s="71"/>
      <c r="IJU7" s="71"/>
      <c r="IJV7" s="71"/>
      <c r="IJW7" s="71"/>
      <c r="IJX7" s="71"/>
      <c r="IJY7" s="71"/>
      <c r="IJZ7" s="71"/>
      <c r="IKA7" s="71"/>
      <c r="IKB7" s="71"/>
      <c r="IKC7" s="71"/>
      <c r="IKD7" s="71"/>
      <c r="IKE7" s="71"/>
      <c r="IKF7" s="71"/>
      <c r="IKG7" s="71"/>
      <c r="IKH7" s="71"/>
      <c r="IKI7" s="71"/>
      <c r="IKJ7" s="71"/>
      <c r="IKK7" s="71"/>
      <c r="IKL7" s="71"/>
      <c r="IKM7" s="71"/>
      <c r="IKN7" s="71"/>
      <c r="IKO7" s="71"/>
      <c r="IKP7" s="71"/>
      <c r="IKQ7" s="71"/>
      <c r="IKR7" s="71"/>
      <c r="IKS7" s="71"/>
      <c r="IKT7" s="71"/>
      <c r="IKU7" s="71"/>
      <c r="IKV7" s="71"/>
      <c r="IKW7" s="71"/>
      <c r="IKX7" s="71"/>
      <c r="IKY7" s="71"/>
      <c r="IKZ7" s="71"/>
      <c r="ILA7" s="71"/>
      <c r="ILB7" s="71"/>
      <c r="ILC7" s="71"/>
      <c r="ILD7" s="71"/>
      <c r="ILE7" s="71"/>
      <c r="ILF7" s="71"/>
      <c r="ILG7" s="71"/>
      <c r="ILH7" s="71"/>
      <c r="ILI7" s="71"/>
      <c r="ILJ7" s="71"/>
      <c r="ILK7" s="71"/>
      <c r="ILL7" s="71"/>
      <c r="ILM7" s="71"/>
      <c r="ILN7" s="71"/>
      <c r="ILO7" s="71"/>
      <c r="ILP7" s="71"/>
      <c r="ILQ7" s="71"/>
      <c r="ILR7" s="71"/>
      <c r="ILS7" s="71"/>
      <c r="ILT7" s="71"/>
      <c r="ILU7" s="71"/>
      <c r="ILV7" s="71"/>
      <c r="ILW7" s="71"/>
      <c r="ILX7" s="71"/>
      <c r="ILY7" s="71"/>
      <c r="ILZ7" s="71"/>
      <c r="IMA7" s="71"/>
      <c r="IMB7" s="71"/>
      <c r="IMC7" s="71"/>
      <c r="IMD7" s="71"/>
      <c r="IME7" s="71"/>
      <c r="IMF7" s="71"/>
      <c r="IMG7" s="71"/>
      <c r="IMH7" s="71"/>
      <c r="IMI7" s="71"/>
      <c r="IMJ7" s="71"/>
      <c r="IMK7" s="71"/>
      <c r="IML7" s="71"/>
      <c r="IMM7" s="71"/>
      <c r="IMN7" s="71"/>
      <c r="IMO7" s="71"/>
      <c r="IMP7" s="71"/>
      <c r="IMQ7" s="71"/>
      <c r="IMR7" s="71"/>
      <c r="IMS7" s="71"/>
      <c r="IMT7" s="71"/>
      <c r="IMU7" s="71"/>
      <c r="IMV7" s="71"/>
      <c r="IMW7" s="71"/>
      <c r="IMX7" s="71"/>
      <c r="IMY7" s="71"/>
      <c r="IMZ7" s="71"/>
      <c r="INA7" s="71"/>
      <c r="INB7" s="71"/>
      <c r="INC7" s="71"/>
      <c r="IND7" s="71"/>
      <c r="INE7" s="71"/>
      <c r="INF7" s="71"/>
      <c r="ING7" s="71"/>
      <c r="INH7" s="71"/>
      <c r="INI7" s="71"/>
      <c r="INJ7" s="71"/>
      <c r="INK7" s="71"/>
      <c r="INL7" s="71"/>
      <c r="INM7" s="71"/>
      <c r="INN7" s="71"/>
      <c r="INO7" s="71"/>
      <c r="INP7" s="71"/>
      <c r="INQ7" s="71"/>
      <c r="INR7" s="71"/>
      <c r="INS7" s="71"/>
      <c r="INT7" s="71"/>
      <c r="INU7" s="71"/>
      <c r="INV7" s="71"/>
      <c r="INW7" s="71"/>
      <c r="INX7" s="71"/>
      <c r="INY7" s="71"/>
      <c r="INZ7" s="71"/>
      <c r="IOA7" s="71"/>
      <c r="IOB7" s="71"/>
      <c r="IOC7" s="71"/>
      <c r="IOD7" s="71"/>
      <c r="IOE7" s="71"/>
      <c r="IOF7" s="71"/>
      <c r="IOG7" s="71"/>
      <c r="IOH7" s="71"/>
      <c r="IOI7" s="71"/>
      <c r="IOJ7" s="71"/>
      <c r="IOK7" s="71"/>
      <c r="IOL7" s="71"/>
      <c r="IOM7" s="71"/>
      <c r="ION7" s="71"/>
      <c r="IOO7" s="71"/>
      <c r="IOP7" s="71"/>
      <c r="IOQ7" s="71"/>
      <c r="IOR7" s="71"/>
      <c r="IOS7" s="71"/>
      <c r="IOT7" s="71"/>
      <c r="IOU7" s="71"/>
      <c r="IOV7" s="71"/>
      <c r="IOW7" s="71"/>
      <c r="IOX7" s="71"/>
      <c r="IOY7" s="71"/>
      <c r="IOZ7" s="71"/>
      <c r="IPA7" s="71"/>
      <c r="IPB7" s="71"/>
      <c r="IPC7" s="71"/>
      <c r="IPD7" s="71"/>
      <c r="IPE7" s="71"/>
      <c r="IPF7" s="71"/>
      <c r="IPG7" s="71"/>
      <c r="IPH7" s="71"/>
      <c r="IPI7" s="71"/>
      <c r="IPJ7" s="71"/>
      <c r="IPK7" s="71"/>
      <c r="IPL7" s="71"/>
      <c r="IPM7" s="71"/>
      <c r="IPN7" s="71"/>
      <c r="IPO7" s="71"/>
      <c r="IPP7" s="71"/>
      <c r="IPQ7" s="71"/>
      <c r="IPR7" s="71"/>
      <c r="IPS7" s="71"/>
      <c r="IPT7" s="71"/>
      <c r="IPU7" s="71"/>
      <c r="IPV7" s="71"/>
      <c r="IPW7" s="71"/>
      <c r="IPX7" s="71"/>
      <c r="IPY7" s="71"/>
      <c r="IPZ7" s="71"/>
      <c r="IQA7" s="71"/>
      <c r="IQB7" s="71"/>
      <c r="IQC7" s="71"/>
      <c r="IQD7" s="71"/>
      <c r="IQE7" s="71"/>
      <c r="IQF7" s="71"/>
      <c r="IQG7" s="71"/>
      <c r="IQH7" s="71"/>
      <c r="IQI7" s="71"/>
      <c r="IQJ7" s="71"/>
      <c r="IQK7" s="71"/>
      <c r="IQL7" s="71"/>
      <c r="IQM7" s="71"/>
      <c r="IQN7" s="71"/>
      <c r="IQO7" s="71"/>
      <c r="IQP7" s="71"/>
      <c r="IQQ7" s="71"/>
      <c r="IQR7" s="71"/>
      <c r="IQS7" s="71"/>
      <c r="IQT7" s="71"/>
      <c r="IQU7" s="71"/>
      <c r="IQV7" s="71"/>
      <c r="IQW7" s="71"/>
      <c r="IQX7" s="71"/>
      <c r="IQY7" s="71"/>
      <c r="IQZ7" s="71"/>
      <c r="IRA7" s="71"/>
      <c r="IRB7" s="71"/>
      <c r="IRC7" s="71"/>
      <c r="IRD7" s="71"/>
      <c r="IRE7" s="71"/>
      <c r="IRF7" s="71"/>
      <c r="IRG7" s="71"/>
      <c r="IRH7" s="71"/>
      <c r="IRI7" s="71"/>
      <c r="IRJ7" s="71"/>
      <c r="IRK7" s="71"/>
      <c r="IRL7" s="71"/>
      <c r="IRM7" s="71"/>
      <c r="IRN7" s="71"/>
      <c r="IRO7" s="71"/>
      <c r="IRP7" s="71"/>
      <c r="IRQ7" s="71"/>
      <c r="IRR7" s="71"/>
      <c r="IRS7" s="71"/>
      <c r="IRT7" s="71"/>
      <c r="IRU7" s="71"/>
      <c r="IRV7" s="71"/>
      <c r="IRW7" s="71"/>
      <c r="IRX7" s="71"/>
      <c r="IRY7" s="71"/>
      <c r="IRZ7" s="71"/>
      <c r="ISA7" s="71"/>
      <c r="ISB7" s="71"/>
      <c r="ISC7" s="71"/>
      <c r="ISD7" s="71"/>
      <c r="ISE7" s="71"/>
      <c r="ISF7" s="71"/>
      <c r="ISG7" s="71"/>
      <c r="ISH7" s="71"/>
      <c r="ISI7" s="71"/>
      <c r="ISJ7" s="71"/>
      <c r="ISK7" s="71"/>
      <c r="ISL7" s="71"/>
      <c r="ISM7" s="71"/>
      <c r="ISN7" s="71"/>
      <c r="ISO7" s="71"/>
      <c r="ISP7" s="71"/>
      <c r="ISQ7" s="71"/>
      <c r="ISR7" s="71"/>
      <c r="ISS7" s="71"/>
      <c r="IST7" s="71"/>
      <c r="ISU7" s="71"/>
      <c r="ISV7" s="71"/>
      <c r="ISW7" s="71"/>
      <c r="ISX7" s="71"/>
      <c r="ISY7" s="71"/>
      <c r="ISZ7" s="71"/>
      <c r="ITA7" s="71"/>
      <c r="ITB7" s="71"/>
      <c r="ITC7" s="71"/>
      <c r="ITD7" s="71"/>
      <c r="ITE7" s="71"/>
      <c r="ITF7" s="71"/>
      <c r="ITG7" s="71"/>
      <c r="ITH7" s="71"/>
      <c r="ITI7" s="71"/>
      <c r="ITJ7" s="71"/>
      <c r="ITK7" s="71"/>
      <c r="ITL7" s="71"/>
      <c r="ITM7" s="71"/>
      <c r="ITN7" s="71"/>
      <c r="ITO7" s="71"/>
      <c r="ITP7" s="71"/>
      <c r="ITQ7" s="71"/>
      <c r="ITR7" s="71"/>
      <c r="ITS7" s="71"/>
      <c r="ITT7" s="71"/>
      <c r="ITU7" s="71"/>
      <c r="ITV7" s="71"/>
      <c r="ITW7" s="71"/>
      <c r="ITX7" s="71"/>
      <c r="ITY7" s="71"/>
      <c r="ITZ7" s="71"/>
      <c r="IUA7" s="71"/>
      <c r="IUB7" s="71"/>
      <c r="IUC7" s="71"/>
      <c r="IUD7" s="71"/>
      <c r="IUE7" s="71"/>
      <c r="IUF7" s="71"/>
      <c r="IUG7" s="71"/>
      <c r="IUH7" s="71"/>
      <c r="IUI7" s="71"/>
      <c r="IUJ7" s="71"/>
      <c r="IUK7" s="71"/>
      <c r="IUL7" s="71"/>
      <c r="IUM7" s="71"/>
      <c r="IUN7" s="71"/>
      <c r="IUO7" s="71"/>
      <c r="IUP7" s="71"/>
      <c r="IUQ7" s="71"/>
      <c r="IUR7" s="71"/>
      <c r="IUS7" s="71"/>
      <c r="IUT7" s="71"/>
      <c r="IUU7" s="71"/>
      <c r="IUV7" s="71"/>
      <c r="IUW7" s="71"/>
      <c r="IUX7" s="71"/>
      <c r="IUY7" s="71"/>
      <c r="IUZ7" s="71"/>
      <c r="IVA7" s="71"/>
      <c r="IVB7" s="71"/>
      <c r="IVC7" s="71"/>
      <c r="IVD7" s="71"/>
      <c r="IVE7" s="71"/>
      <c r="IVF7" s="71"/>
      <c r="IVG7" s="71"/>
      <c r="IVH7" s="71"/>
      <c r="IVI7" s="71"/>
      <c r="IVJ7" s="71"/>
      <c r="IVK7" s="71"/>
      <c r="IVL7" s="71"/>
      <c r="IVM7" s="71"/>
      <c r="IVN7" s="71"/>
      <c r="IVO7" s="71"/>
      <c r="IVP7" s="71"/>
      <c r="IVQ7" s="71"/>
      <c r="IVR7" s="71"/>
      <c r="IVS7" s="71"/>
      <c r="IVT7" s="71"/>
      <c r="IVU7" s="71"/>
      <c r="IVV7" s="71"/>
      <c r="IVW7" s="71"/>
      <c r="IVX7" s="71"/>
      <c r="IVY7" s="71"/>
      <c r="IVZ7" s="71"/>
      <c r="IWA7" s="71"/>
      <c r="IWB7" s="71"/>
      <c r="IWC7" s="71"/>
      <c r="IWD7" s="71"/>
      <c r="IWE7" s="71"/>
      <c r="IWF7" s="71"/>
      <c r="IWG7" s="71"/>
      <c r="IWH7" s="71"/>
      <c r="IWI7" s="71"/>
      <c r="IWJ7" s="71"/>
      <c r="IWK7" s="71"/>
      <c r="IWL7" s="71"/>
      <c r="IWM7" s="71"/>
      <c r="IWN7" s="71"/>
      <c r="IWO7" s="71"/>
      <c r="IWP7" s="71"/>
      <c r="IWQ7" s="71"/>
      <c r="IWR7" s="71"/>
      <c r="IWS7" s="71"/>
      <c r="IWT7" s="71"/>
      <c r="IWU7" s="71"/>
      <c r="IWV7" s="71"/>
      <c r="IWW7" s="71"/>
      <c r="IWX7" s="71"/>
      <c r="IWY7" s="71"/>
      <c r="IWZ7" s="71"/>
      <c r="IXA7" s="71"/>
      <c r="IXB7" s="71"/>
      <c r="IXC7" s="71"/>
      <c r="IXD7" s="71"/>
      <c r="IXE7" s="71"/>
      <c r="IXF7" s="71"/>
      <c r="IXG7" s="71"/>
      <c r="IXH7" s="71"/>
      <c r="IXI7" s="71"/>
      <c r="IXJ7" s="71"/>
      <c r="IXK7" s="71"/>
      <c r="IXL7" s="71"/>
      <c r="IXM7" s="71"/>
      <c r="IXN7" s="71"/>
      <c r="IXO7" s="71"/>
      <c r="IXP7" s="71"/>
      <c r="IXQ7" s="71"/>
      <c r="IXR7" s="71"/>
      <c r="IXS7" s="71"/>
      <c r="IXT7" s="71"/>
      <c r="IXU7" s="71"/>
      <c r="IXV7" s="71"/>
      <c r="IXW7" s="71"/>
      <c r="IXX7" s="71"/>
      <c r="IXY7" s="71"/>
      <c r="IXZ7" s="71"/>
      <c r="IYA7" s="71"/>
      <c r="IYB7" s="71"/>
      <c r="IYC7" s="71"/>
      <c r="IYD7" s="71"/>
      <c r="IYE7" s="71"/>
      <c r="IYF7" s="71"/>
      <c r="IYG7" s="71"/>
      <c r="IYH7" s="71"/>
      <c r="IYI7" s="71"/>
      <c r="IYJ7" s="71"/>
      <c r="IYK7" s="71"/>
      <c r="IYL7" s="71"/>
      <c r="IYM7" s="71"/>
      <c r="IYN7" s="71"/>
      <c r="IYO7" s="71"/>
      <c r="IYP7" s="71"/>
      <c r="IYQ7" s="71"/>
      <c r="IYR7" s="71"/>
      <c r="IYS7" s="71"/>
      <c r="IYT7" s="71"/>
      <c r="IYU7" s="71"/>
      <c r="IYV7" s="71"/>
      <c r="IYW7" s="71"/>
      <c r="IYX7" s="71"/>
      <c r="IYY7" s="71"/>
      <c r="IYZ7" s="71"/>
      <c r="IZA7" s="71"/>
      <c r="IZB7" s="71"/>
      <c r="IZC7" s="71"/>
      <c r="IZD7" s="71"/>
      <c r="IZE7" s="71"/>
      <c r="IZF7" s="71"/>
      <c r="IZG7" s="71"/>
      <c r="IZH7" s="71"/>
      <c r="IZI7" s="71"/>
      <c r="IZJ7" s="71"/>
      <c r="IZK7" s="71"/>
      <c r="IZL7" s="71"/>
      <c r="IZM7" s="71"/>
      <c r="IZN7" s="71"/>
      <c r="IZO7" s="71"/>
      <c r="IZP7" s="71"/>
      <c r="IZQ7" s="71"/>
      <c r="IZR7" s="71"/>
      <c r="IZS7" s="71"/>
      <c r="IZT7" s="71"/>
      <c r="IZU7" s="71"/>
      <c r="IZV7" s="71"/>
      <c r="IZW7" s="71"/>
      <c r="IZX7" s="71"/>
      <c r="IZY7" s="71"/>
      <c r="IZZ7" s="71"/>
      <c r="JAA7" s="71"/>
      <c r="JAB7" s="71"/>
      <c r="JAC7" s="71"/>
      <c r="JAD7" s="71"/>
      <c r="JAE7" s="71"/>
      <c r="JAF7" s="71"/>
      <c r="JAG7" s="71"/>
      <c r="JAH7" s="71"/>
      <c r="JAI7" s="71"/>
      <c r="JAJ7" s="71"/>
      <c r="JAK7" s="71"/>
      <c r="JAL7" s="71"/>
      <c r="JAM7" s="71"/>
      <c r="JAN7" s="71"/>
      <c r="JAO7" s="71"/>
      <c r="JAP7" s="71"/>
      <c r="JAQ7" s="71"/>
      <c r="JAR7" s="71"/>
      <c r="JAS7" s="71"/>
      <c r="JAT7" s="71"/>
      <c r="JAU7" s="71"/>
      <c r="JAV7" s="71"/>
      <c r="JAW7" s="71"/>
      <c r="JAX7" s="71"/>
      <c r="JAY7" s="71"/>
      <c r="JAZ7" s="71"/>
      <c r="JBA7" s="71"/>
      <c r="JBB7" s="71"/>
      <c r="JBC7" s="71"/>
      <c r="JBD7" s="71"/>
      <c r="JBE7" s="71"/>
      <c r="JBF7" s="71"/>
      <c r="JBG7" s="71"/>
      <c r="JBH7" s="71"/>
      <c r="JBI7" s="71"/>
      <c r="JBJ7" s="71"/>
      <c r="JBK7" s="71"/>
      <c r="JBL7" s="71"/>
      <c r="JBM7" s="71"/>
      <c r="JBN7" s="71"/>
      <c r="JBO7" s="71"/>
      <c r="JBP7" s="71"/>
      <c r="JBQ7" s="71"/>
      <c r="JBR7" s="71"/>
      <c r="JBS7" s="71"/>
      <c r="JBT7" s="71"/>
      <c r="JBU7" s="71"/>
      <c r="JBV7" s="71"/>
      <c r="JBW7" s="71"/>
      <c r="JBX7" s="71"/>
      <c r="JBY7" s="71"/>
      <c r="JBZ7" s="71"/>
      <c r="JCA7" s="71"/>
      <c r="JCB7" s="71"/>
      <c r="JCC7" s="71"/>
      <c r="JCD7" s="71"/>
      <c r="JCE7" s="71"/>
      <c r="JCF7" s="71"/>
      <c r="JCG7" s="71"/>
      <c r="JCH7" s="71"/>
      <c r="JCI7" s="71"/>
      <c r="JCJ7" s="71"/>
      <c r="JCK7" s="71"/>
      <c r="JCL7" s="71"/>
      <c r="JCM7" s="71"/>
      <c r="JCN7" s="71"/>
      <c r="JCO7" s="71"/>
      <c r="JCP7" s="71"/>
      <c r="JCQ7" s="71"/>
      <c r="JCR7" s="71"/>
      <c r="JCS7" s="71"/>
      <c r="JCT7" s="71"/>
      <c r="JCU7" s="71"/>
      <c r="JCV7" s="71"/>
      <c r="JCW7" s="71"/>
      <c r="JCX7" s="71"/>
      <c r="JCY7" s="71"/>
      <c r="JCZ7" s="71"/>
      <c r="JDA7" s="71"/>
      <c r="JDB7" s="71"/>
      <c r="JDC7" s="71"/>
      <c r="JDD7" s="71"/>
      <c r="JDE7" s="71"/>
      <c r="JDF7" s="71"/>
      <c r="JDG7" s="71"/>
      <c r="JDH7" s="71"/>
      <c r="JDI7" s="71"/>
      <c r="JDJ7" s="71"/>
      <c r="JDK7" s="71"/>
      <c r="JDL7" s="71"/>
      <c r="JDM7" s="71"/>
      <c r="JDN7" s="71"/>
      <c r="JDO7" s="71"/>
      <c r="JDP7" s="71"/>
      <c r="JDQ7" s="71"/>
      <c r="JDR7" s="71"/>
      <c r="JDS7" s="71"/>
      <c r="JDT7" s="71"/>
      <c r="JDU7" s="71"/>
      <c r="JDV7" s="71"/>
      <c r="JDW7" s="71"/>
      <c r="JDX7" s="71"/>
      <c r="JDY7" s="71"/>
      <c r="JDZ7" s="71"/>
      <c r="JEA7" s="71"/>
      <c r="JEB7" s="71"/>
      <c r="JEC7" s="71"/>
      <c r="JED7" s="71"/>
      <c r="JEE7" s="71"/>
      <c r="JEF7" s="71"/>
      <c r="JEG7" s="71"/>
      <c r="JEH7" s="71"/>
      <c r="JEI7" s="71"/>
      <c r="JEJ7" s="71"/>
      <c r="JEK7" s="71"/>
      <c r="JEL7" s="71"/>
      <c r="JEM7" s="71"/>
      <c r="JEN7" s="71"/>
      <c r="JEO7" s="71"/>
      <c r="JEP7" s="71"/>
      <c r="JEQ7" s="71"/>
      <c r="JER7" s="71"/>
      <c r="JES7" s="71"/>
      <c r="JET7" s="71"/>
      <c r="JEU7" s="71"/>
      <c r="JEV7" s="71"/>
      <c r="JEW7" s="71"/>
      <c r="JEX7" s="71"/>
      <c r="JEY7" s="71"/>
      <c r="JEZ7" s="71"/>
      <c r="JFA7" s="71"/>
      <c r="JFB7" s="71"/>
      <c r="JFC7" s="71"/>
      <c r="JFD7" s="71"/>
      <c r="JFE7" s="71"/>
      <c r="JFF7" s="71"/>
      <c r="JFG7" s="71"/>
      <c r="JFH7" s="71"/>
      <c r="JFI7" s="71"/>
      <c r="JFJ7" s="71"/>
      <c r="JFK7" s="71"/>
      <c r="JFL7" s="71"/>
      <c r="JFM7" s="71"/>
      <c r="JFN7" s="71"/>
      <c r="JFO7" s="71"/>
      <c r="JFP7" s="71"/>
      <c r="JFQ7" s="71"/>
      <c r="JFR7" s="71"/>
      <c r="JFS7" s="71"/>
      <c r="JFT7" s="71"/>
      <c r="JFU7" s="71"/>
      <c r="JFV7" s="71"/>
      <c r="JFW7" s="71"/>
      <c r="JFX7" s="71"/>
      <c r="JFY7" s="71"/>
      <c r="JFZ7" s="71"/>
      <c r="JGA7" s="71"/>
      <c r="JGB7" s="71"/>
      <c r="JGC7" s="71"/>
      <c r="JGD7" s="71"/>
      <c r="JGE7" s="71"/>
      <c r="JGF7" s="71"/>
      <c r="JGG7" s="71"/>
      <c r="JGH7" s="71"/>
      <c r="JGI7" s="71"/>
      <c r="JGJ7" s="71"/>
      <c r="JGK7" s="71"/>
      <c r="JGL7" s="71"/>
      <c r="JGM7" s="71"/>
      <c r="JGN7" s="71"/>
      <c r="JGO7" s="71"/>
      <c r="JGP7" s="71"/>
      <c r="JGQ7" s="71"/>
      <c r="JGR7" s="71"/>
      <c r="JGS7" s="71"/>
      <c r="JGT7" s="71"/>
      <c r="JGU7" s="71"/>
      <c r="JGV7" s="71"/>
      <c r="JGW7" s="71"/>
      <c r="JGX7" s="71"/>
      <c r="JGY7" s="71"/>
      <c r="JGZ7" s="71"/>
      <c r="JHA7" s="71"/>
      <c r="JHB7" s="71"/>
      <c r="JHC7" s="71"/>
      <c r="JHD7" s="71"/>
      <c r="JHE7" s="71"/>
      <c r="JHF7" s="71"/>
      <c r="JHG7" s="71"/>
      <c r="JHH7" s="71"/>
      <c r="JHI7" s="71"/>
      <c r="JHJ7" s="71"/>
      <c r="JHK7" s="71"/>
      <c r="JHL7" s="71"/>
      <c r="JHM7" s="71"/>
      <c r="JHN7" s="71"/>
      <c r="JHO7" s="71"/>
      <c r="JHP7" s="71"/>
      <c r="JHQ7" s="71"/>
      <c r="JHR7" s="71"/>
      <c r="JHS7" s="71"/>
      <c r="JHT7" s="71"/>
      <c r="JHU7" s="71"/>
      <c r="JHV7" s="71"/>
      <c r="JHW7" s="71"/>
      <c r="JHX7" s="71"/>
      <c r="JHY7" s="71"/>
      <c r="JHZ7" s="71"/>
      <c r="JIA7" s="71"/>
      <c r="JIB7" s="71"/>
      <c r="JIC7" s="71"/>
      <c r="JID7" s="71"/>
      <c r="JIE7" s="71"/>
      <c r="JIF7" s="71"/>
      <c r="JIG7" s="71"/>
      <c r="JIH7" s="71"/>
      <c r="JII7" s="71"/>
      <c r="JIJ7" s="71"/>
      <c r="JIK7" s="71"/>
      <c r="JIL7" s="71"/>
      <c r="JIM7" s="71"/>
      <c r="JIN7" s="71"/>
      <c r="JIO7" s="71"/>
      <c r="JIP7" s="71"/>
      <c r="JIQ7" s="71"/>
      <c r="JIR7" s="71"/>
      <c r="JIS7" s="71"/>
      <c r="JIT7" s="71"/>
      <c r="JIU7" s="71"/>
      <c r="JIV7" s="71"/>
      <c r="JIW7" s="71"/>
      <c r="JIX7" s="71"/>
      <c r="JIY7" s="71"/>
      <c r="JIZ7" s="71"/>
      <c r="JJA7" s="71"/>
      <c r="JJB7" s="71"/>
      <c r="JJC7" s="71"/>
      <c r="JJD7" s="71"/>
      <c r="JJE7" s="71"/>
      <c r="JJF7" s="71"/>
      <c r="JJG7" s="71"/>
      <c r="JJH7" s="71"/>
      <c r="JJI7" s="71"/>
      <c r="JJJ7" s="71"/>
      <c r="JJK7" s="71"/>
      <c r="JJL7" s="71"/>
      <c r="JJM7" s="71"/>
      <c r="JJN7" s="71"/>
      <c r="JJO7" s="71"/>
      <c r="JJP7" s="71"/>
      <c r="JJQ7" s="71"/>
      <c r="JJR7" s="71"/>
      <c r="JJS7" s="71"/>
      <c r="JJT7" s="71"/>
      <c r="JJU7" s="71"/>
      <c r="JJV7" s="71"/>
      <c r="JJW7" s="71"/>
      <c r="JJX7" s="71"/>
      <c r="JJY7" s="71"/>
      <c r="JJZ7" s="71"/>
      <c r="JKA7" s="71"/>
      <c r="JKB7" s="71"/>
      <c r="JKC7" s="71"/>
      <c r="JKD7" s="71"/>
      <c r="JKE7" s="71"/>
      <c r="JKF7" s="71"/>
      <c r="JKG7" s="71"/>
      <c r="JKH7" s="71"/>
      <c r="JKI7" s="71"/>
      <c r="JKJ7" s="71"/>
      <c r="JKK7" s="71"/>
      <c r="JKL7" s="71"/>
      <c r="JKM7" s="71"/>
      <c r="JKN7" s="71"/>
      <c r="JKO7" s="71"/>
      <c r="JKP7" s="71"/>
      <c r="JKQ7" s="71"/>
      <c r="JKR7" s="71"/>
      <c r="JKS7" s="71"/>
      <c r="JKT7" s="71"/>
      <c r="JKU7" s="71"/>
      <c r="JKV7" s="71"/>
      <c r="JKW7" s="71"/>
      <c r="JKX7" s="71"/>
      <c r="JKY7" s="71"/>
      <c r="JKZ7" s="71"/>
      <c r="JLA7" s="71"/>
      <c r="JLB7" s="71"/>
      <c r="JLC7" s="71"/>
      <c r="JLD7" s="71"/>
      <c r="JLE7" s="71"/>
      <c r="JLF7" s="71"/>
      <c r="JLG7" s="71"/>
      <c r="JLH7" s="71"/>
      <c r="JLI7" s="71"/>
      <c r="JLJ7" s="71"/>
      <c r="JLK7" s="71"/>
      <c r="JLL7" s="71"/>
      <c r="JLM7" s="71"/>
      <c r="JLN7" s="71"/>
      <c r="JLO7" s="71"/>
      <c r="JLP7" s="71"/>
      <c r="JLQ7" s="71"/>
      <c r="JLR7" s="71"/>
      <c r="JLS7" s="71"/>
      <c r="JLT7" s="71"/>
      <c r="JLU7" s="71"/>
      <c r="JLV7" s="71"/>
      <c r="JLW7" s="71"/>
      <c r="JLX7" s="71"/>
      <c r="JLY7" s="71"/>
      <c r="JLZ7" s="71"/>
      <c r="JMA7" s="71"/>
      <c r="JMB7" s="71"/>
      <c r="JMC7" s="71"/>
      <c r="JMD7" s="71"/>
      <c r="JME7" s="71"/>
      <c r="JMF7" s="71"/>
      <c r="JMG7" s="71"/>
      <c r="JMH7" s="71"/>
      <c r="JMI7" s="71"/>
      <c r="JMJ7" s="71"/>
      <c r="JMK7" s="71"/>
      <c r="JML7" s="71"/>
      <c r="JMM7" s="71"/>
      <c r="JMN7" s="71"/>
      <c r="JMO7" s="71"/>
      <c r="JMP7" s="71"/>
      <c r="JMQ7" s="71"/>
      <c r="JMR7" s="71"/>
      <c r="JMS7" s="71"/>
      <c r="JMT7" s="71"/>
      <c r="JMU7" s="71"/>
      <c r="JMV7" s="71"/>
      <c r="JMW7" s="71"/>
      <c r="JMX7" s="71"/>
      <c r="JMY7" s="71"/>
      <c r="JMZ7" s="71"/>
      <c r="JNA7" s="71"/>
      <c r="JNB7" s="71"/>
      <c r="JNC7" s="71"/>
      <c r="JND7" s="71"/>
      <c r="JNE7" s="71"/>
      <c r="JNF7" s="71"/>
      <c r="JNG7" s="71"/>
      <c r="JNH7" s="71"/>
      <c r="JNI7" s="71"/>
      <c r="JNJ7" s="71"/>
      <c r="JNK7" s="71"/>
      <c r="JNL7" s="71"/>
      <c r="JNM7" s="71"/>
      <c r="JNN7" s="71"/>
      <c r="JNO7" s="71"/>
      <c r="JNP7" s="71"/>
      <c r="JNQ7" s="71"/>
      <c r="JNR7" s="71"/>
      <c r="JNS7" s="71"/>
      <c r="JNT7" s="71"/>
      <c r="JNU7" s="71"/>
      <c r="JNV7" s="71"/>
      <c r="JNW7" s="71"/>
      <c r="JNX7" s="71"/>
      <c r="JNY7" s="71"/>
      <c r="JNZ7" s="71"/>
      <c r="JOA7" s="71"/>
      <c r="JOB7" s="71"/>
      <c r="JOC7" s="71"/>
      <c r="JOD7" s="71"/>
      <c r="JOE7" s="71"/>
      <c r="JOF7" s="71"/>
      <c r="JOG7" s="71"/>
      <c r="JOH7" s="71"/>
      <c r="JOI7" s="71"/>
      <c r="JOJ7" s="71"/>
      <c r="JOK7" s="71"/>
      <c r="JOL7" s="71"/>
      <c r="JOM7" s="71"/>
      <c r="JON7" s="71"/>
      <c r="JOO7" s="71"/>
      <c r="JOP7" s="71"/>
      <c r="JOQ7" s="71"/>
      <c r="JOR7" s="71"/>
      <c r="JOS7" s="71"/>
      <c r="JOT7" s="71"/>
      <c r="JOU7" s="71"/>
      <c r="JOV7" s="71"/>
      <c r="JOW7" s="71"/>
      <c r="JOX7" s="71"/>
      <c r="JOY7" s="71"/>
      <c r="JOZ7" s="71"/>
      <c r="JPA7" s="71"/>
      <c r="JPB7" s="71"/>
      <c r="JPC7" s="71"/>
      <c r="JPD7" s="71"/>
      <c r="JPE7" s="71"/>
      <c r="JPF7" s="71"/>
      <c r="JPG7" s="71"/>
      <c r="JPH7" s="71"/>
      <c r="JPI7" s="71"/>
      <c r="JPJ7" s="71"/>
      <c r="JPK7" s="71"/>
      <c r="JPL7" s="71"/>
      <c r="JPM7" s="71"/>
      <c r="JPN7" s="71"/>
      <c r="JPO7" s="71"/>
      <c r="JPP7" s="71"/>
      <c r="JPQ7" s="71"/>
      <c r="JPR7" s="71"/>
      <c r="JPS7" s="71"/>
      <c r="JPT7" s="71"/>
      <c r="JPU7" s="71"/>
      <c r="JPV7" s="71"/>
      <c r="JPW7" s="71"/>
      <c r="JPX7" s="71"/>
      <c r="JPY7" s="71"/>
      <c r="JPZ7" s="71"/>
      <c r="JQA7" s="71"/>
      <c r="JQB7" s="71"/>
      <c r="JQC7" s="71"/>
      <c r="JQD7" s="71"/>
      <c r="JQE7" s="71"/>
      <c r="JQF7" s="71"/>
      <c r="JQG7" s="71"/>
      <c r="JQH7" s="71"/>
      <c r="JQI7" s="71"/>
      <c r="JQJ7" s="71"/>
      <c r="JQK7" s="71"/>
      <c r="JQL7" s="71"/>
      <c r="JQM7" s="71"/>
      <c r="JQN7" s="71"/>
      <c r="JQO7" s="71"/>
      <c r="JQP7" s="71"/>
      <c r="JQQ7" s="71"/>
      <c r="JQR7" s="71"/>
      <c r="JQS7" s="71"/>
      <c r="JQT7" s="71"/>
      <c r="JQU7" s="71"/>
      <c r="JQV7" s="71"/>
      <c r="JQW7" s="71"/>
      <c r="JQX7" s="71"/>
      <c r="JQY7" s="71"/>
      <c r="JQZ7" s="71"/>
      <c r="JRA7" s="71"/>
      <c r="JRB7" s="71"/>
      <c r="JRC7" s="71"/>
      <c r="JRD7" s="71"/>
      <c r="JRE7" s="71"/>
      <c r="JRF7" s="71"/>
      <c r="JRG7" s="71"/>
      <c r="JRH7" s="71"/>
      <c r="JRI7" s="71"/>
      <c r="JRJ7" s="71"/>
      <c r="JRK7" s="71"/>
      <c r="JRL7" s="71"/>
      <c r="JRM7" s="71"/>
      <c r="JRN7" s="71"/>
      <c r="JRO7" s="71"/>
      <c r="JRP7" s="71"/>
      <c r="JRQ7" s="71"/>
      <c r="JRR7" s="71"/>
      <c r="JRS7" s="71"/>
      <c r="JRT7" s="71"/>
      <c r="JRU7" s="71"/>
      <c r="JRV7" s="71"/>
      <c r="JRW7" s="71"/>
      <c r="JRX7" s="71"/>
      <c r="JRY7" s="71"/>
      <c r="JRZ7" s="71"/>
      <c r="JSA7" s="71"/>
      <c r="JSB7" s="71"/>
      <c r="JSC7" s="71"/>
      <c r="JSD7" s="71"/>
      <c r="JSE7" s="71"/>
      <c r="JSF7" s="71"/>
      <c r="JSG7" s="71"/>
      <c r="JSH7" s="71"/>
      <c r="JSI7" s="71"/>
      <c r="JSJ7" s="71"/>
      <c r="JSK7" s="71"/>
      <c r="JSL7" s="71"/>
      <c r="JSM7" s="71"/>
      <c r="JSN7" s="71"/>
      <c r="JSO7" s="71"/>
      <c r="JSP7" s="71"/>
      <c r="JSQ7" s="71"/>
      <c r="JSR7" s="71"/>
      <c r="JSS7" s="71"/>
      <c r="JST7" s="71"/>
      <c r="JSU7" s="71"/>
      <c r="JSV7" s="71"/>
      <c r="JSW7" s="71"/>
      <c r="JSX7" s="71"/>
      <c r="JSY7" s="71"/>
      <c r="JSZ7" s="71"/>
      <c r="JTA7" s="71"/>
      <c r="JTB7" s="71"/>
      <c r="JTC7" s="71"/>
      <c r="JTD7" s="71"/>
      <c r="JTE7" s="71"/>
      <c r="JTF7" s="71"/>
      <c r="JTG7" s="71"/>
      <c r="JTH7" s="71"/>
      <c r="JTI7" s="71"/>
      <c r="JTJ7" s="71"/>
      <c r="JTK7" s="71"/>
      <c r="JTL7" s="71"/>
      <c r="JTM7" s="71"/>
      <c r="JTN7" s="71"/>
      <c r="JTO7" s="71"/>
      <c r="JTP7" s="71"/>
      <c r="JTQ7" s="71"/>
      <c r="JTR7" s="71"/>
      <c r="JTS7" s="71"/>
      <c r="JTT7" s="71"/>
      <c r="JTU7" s="71"/>
      <c r="JTV7" s="71"/>
      <c r="JTW7" s="71"/>
      <c r="JTX7" s="71"/>
      <c r="JTY7" s="71"/>
      <c r="JTZ7" s="71"/>
      <c r="JUA7" s="71"/>
      <c r="JUB7" s="71"/>
      <c r="JUC7" s="71"/>
      <c r="JUD7" s="71"/>
      <c r="JUE7" s="71"/>
      <c r="JUF7" s="71"/>
      <c r="JUG7" s="71"/>
      <c r="JUH7" s="71"/>
      <c r="JUI7" s="71"/>
      <c r="JUJ7" s="71"/>
      <c r="JUK7" s="71"/>
      <c r="JUL7" s="71"/>
      <c r="JUM7" s="71"/>
      <c r="JUN7" s="71"/>
      <c r="JUO7" s="71"/>
      <c r="JUP7" s="71"/>
      <c r="JUQ7" s="71"/>
      <c r="JUR7" s="71"/>
      <c r="JUS7" s="71"/>
      <c r="JUT7" s="71"/>
      <c r="JUU7" s="71"/>
      <c r="JUV7" s="71"/>
      <c r="JUW7" s="71"/>
      <c r="JUX7" s="71"/>
      <c r="JUY7" s="71"/>
      <c r="JUZ7" s="71"/>
      <c r="JVA7" s="71"/>
      <c r="JVB7" s="71"/>
      <c r="JVC7" s="71"/>
      <c r="JVD7" s="71"/>
      <c r="JVE7" s="71"/>
      <c r="JVF7" s="71"/>
      <c r="JVG7" s="71"/>
      <c r="JVH7" s="71"/>
      <c r="JVI7" s="71"/>
      <c r="JVJ7" s="71"/>
      <c r="JVK7" s="71"/>
      <c r="JVL7" s="71"/>
      <c r="JVM7" s="71"/>
      <c r="JVN7" s="71"/>
      <c r="JVO7" s="71"/>
      <c r="JVP7" s="71"/>
      <c r="JVQ7" s="71"/>
      <c r="JVR7" s="71"/>
      <c r="JVS7" s="71"/>
      <c r="JVT7" s="71"/>
      <c r="JVU7" s="71"/>
      <c r="JVV7" s="71"/>
      <c r="JVW7" s="71"/>
      <c r="JVX7" s="71"/>
      <c r="JVY7" s="71"/>
      <c r="JVZ7" s="71"/>
      <c r="JWA7" s="71"/>
      <c r="JWB7" s="71"/>
      <c r="JWC7" s="71"/>
      <c r="JWD7" s="71"/>
      <c r="JWE7" s="71"/>
      <c r="JWF7" s="71"/>
      <c r="JWG7" s="71"/>
      <c r="JWH7" s="71"/>
      <c r="JWI7" s="71"/>
      <c r="JWJ7" s="71"/>
      <c r="JWK7" s="71"/>
      <c r="JWL7" s="71"/>
      <c r="JWM7" s="71"/>
      <c r="JWN7" s="71"/>
      <c r="JWO7" s="71"/>
      <c r="JWP7" s="71"/>
      <c r="JWQ7" s="71"/>
      <c r="JWR7" s="71"/>
      <c r="JWS7" s="71"/>
      <c r="JWT7" s="71"/>
      <c r="JWU7" s="71"/>
      <c r="JWV7" s="71"/>
      <c r="JWW7" s="71"/>
      <c r="JWX7" s="71"/>
      <c r="JWY7" s="71"/>
      <c r="JWZ7" s="71"/>
      <c r="JXA7" s="71"/>
      <c r="JXB7" s="71"/>
      <c r="JXC7" s="71"/>
      <c r="JXD7" s="71"/>
      <c r="JXE7" s="71"/>
      <c r="JXF7" s="71"/>
      <c r="JXG7" s="71"/>
      <c r="JXH7" s="71"/>
      <c r="JXI7" s="71"/>
      <c r="JXJ7" s="71"/>
      <c r="JXK7" s="71"/>
      <c r="JXL7" s="71"/>
      <c r="JXM7" s="71"/>
      <c r="JXN7" s="71"/>
      <c r="JXO7" s="71"/>
      <c r="JXP7" s="71"/>
      <c r="JXQ7" s="71"/>
      <c r="JXR7" s="71"/>
      <c r="JXS7" s="71"/>
      <c r="JXT7" s="71"/>
      <c r="JXU7" s="71"/>
      <c r="JXV7" s="71"/>
      <c r="JXW7" s="71"/>
      <c r="JXX7" s="71"/>
      <c r="JXY7" s="71"/>
      <c r="JXZ7" s="71"/>
      <c r="JYA7" s="71"/>
      <c r="JYB7" s="71"/>
      <c r="JYC7" s="71"/>
      <c r="JYD7" s="71"/>
      <c r="JYE7" s="71"/>
      <c r="JYF7" s="71"/>
      <c r="JYG7" s="71"/>
      <c r="JYH7" s="71"/>
      <c r="JYI7" s="71"/>
      <c r="JYJ7" s="71"/>
      <c r="JYK7" s="71"/>
      <c r="JYL7" s="71"/>
      <c r="JYM7" s="71"/>
      <c r="JYN7" s="71"/>
      <c r="JYO7" s="71"/>
      <c r="JYP7" s="71"/>
      <c r="JYQ7" s="71"/>
      <c r="JYR7" s="71"/>
      <c r="JYS7" s="71"/>
      <c r="JYT7" s="71"/>
      <c r="JYU7" s="71"/>
      <c r="JYV7" s="71"/>
      <c r="JYW7" s="71"/>
      <c r="JYX7" s="71"/>
      <c r="JYY7" s="71"/>
      <c r="JYZ7" s="71"/>
      <c r="JZA7" s="71"/>
      <c r="JZB7" s="71"/>
      <c r="JZC7" s="71"/>
      <c r="JZD7" s="71"/>
      <c r="JZE7" s="71"/>
      <c r="JZF7" s="71"/>
      <c r="JZG7" s="71"/>
      <c r="JZH7" s="71"/>
      <c r="JZI7" s="71"/>
      <c r="JZJ7" s="71"/>
      <c r="JZK7" s="71"/>
      <c r="JZL7" s="71"/>
      <c r="JZM7" s="71"/>
      <c r="JZN7" s="71"/>
      <c r="JZO7" s="71"/>
      <c r="JZP7" s="71"/>
      <c r="JZQ7" s="71"/>
      <c r="JZR7" s="71"/>
      <c r="JZS7" s="71"/>
      <c r="JZT7" s="71"/>
      <c r="JZU7" s="71"/>
      <c r="JZV7" s="71"/>
      <c r="JZW7" s="71"/>
      <c r="JZX7" s="71"/>
      <c r="JZY7" s="71"/>
      <c r="JZZ7" s="71"/>
      <c r="KAA7" s="71"/>
      <c r="KAB7" s="71"/>
      <c r="KAC7" s="71"/>
      <c r="KAD7" s="71"/>
      <c r="KAE7" s="71"/>
      <c r="KAF7" s="71"/>
      <c r="KAG7" s="71"/>
      <c r="KAH7" s="71"/>
      <c r="KAI7" s="71"/>
      <c r="KAJ7" s="71"/>
      <c r="KAK7" s="71"/>
      <c r="KAL7" s="71"/>
      <c r="KAM7" s="71"/>
      <c r="KAN7" s="71"/>
      <c r="KAO7" s="71"/>
      <c r="KAP7" s="71"/>
      <c r="KAQ7" s="71"/>
      <c r="KAR7" s="71"/>
      <c r="KAS7" s="71"/>
      <c r="KAT7" s="71"/>
      <c r="KAU7" s="71"/>
      <c r="KAV7" s="71"/>
      <c r="KAW7" s="71"/>
      <c r="KAX7" s="71"/>
      <c r="KAY7" s="71"/>
      <c r="KAZ7" s="71"/>
      <c r="KBA7" s="71"/>
      <c r="KBB7" s="71"/>
      <c r="KBC7" s="71"/>
      <c r="KBD7" s="71"/>
      <c r="KBE7" s="71"/>
      <c r="KBF7" s="71"/>
      <c r="KBG7" s="71"/>
      <c r="KBH7" s="71"/>
      <c r="KBI7" s="71"/>
      <c r="KBJ7" s="71"/>
      <c r="KBK7" s="71"/>
      <c r="KBL7" s="71"/>
      <c r="KBM7" s="71"/>
      <c r="KBN7" s="71"/>
      <c r="KBO7" s="71"/>
      <c r="KBP7" s="71"/>
      <c r="KBQ7" s="71"/>
      <c r="KBR7" s="71"/>
      <c r="KBS7" s="71"/>
      <c r="KBT7" s="71"/>
      <c r="KBU7" s="71"/>
      <c r="KBV7" s="71"/>
      <c r="KBW7" s="71"/>
      <c r="KBX7" s="71"/>
      <c r="KBY7" s="71"/>
      <c r="KBZ7" s="71"/>
      <c r="KCA7" s="71"/>
      <c r="KCB7" s="71"/>
      <c r="KCC7" s="71"/>
      <c r="KCD7" s="71"/>
      <c r="KCE7" s="71"/>
      <c r="KCF7" s="71"/>
      <c r="KCG7" s="71"/>
      <c r="KCH7" s="71"/>
      <c r="KCI7" s="71"/>
      <c r="KCJ7" s="71"/>
      <c r="KCK7" s="71"/>
      <c r="KCL7" s="71"/>
      <c r="KCM7" s="71"/>
      <c r="KCN7" s="71"/>
      <c r="KCO7" s="71"/>
      <c r="KCP7" s="71"/>
      <c r="KCQ7" s="71"/>
      <c r="KCR7" s="71"/>
      <c r="KCS7" s="71"/>
      <c r="KCT7" s="71"/>
      <c r="KCU7" s="71"/>
      <c r="KCV7" s="71"/>
      <c r="KCW7" s="71"/>
      <c r="KCX7" s="71"/>
      <c r="KCY7" s="71"/>
      <c r="KCZ7" s="71"/>
      <c r="KDA7" s="71"/>
      <c r="KDB7" s="71"/>
      <c r="KDC7" s="71"/>
      <c r="KDD7" s="71"/>
      <c r="KDE7" s="71"/>
      <c r="KDF7" s="71"/>
      <c r="KDG7" s="71"/>
      <c r="KDH7" s="71"/>
      <c r="KDI7" s="71"/>
      <c r="KDJ7" s="71"/>
      <c r="KDK7" s="71"/>
      <c r="KDL7" s="71"/>
      <c r="KDM7" s="71"/>
      <c r="KDN7" s="71"/>
      <c r="KDO7" s="71"/>
      <c r="KDP7" s="71"/>
      <c r="KDQ7" s="71"/>
      <c r="KDR7" s="71"/>
      <c r="KDS7" s="71"/>
      <c r="KDT7" s="71"/>
      <c r="KDU7" s="71"/>
      <c r="KDV7" s="71"/>
      <c r="KDW7" s="71"/>
      <c r="KDX7" s="71"/>
      <c r="KDY7" s="71"/>
      <c r="KDZ7" s="71"/>
      <c r="KEA7" s="71"/>
      <c r="KEB7" s="71"/>
      <c r="KEC7" s="71"/>
      <c r="KED7" s="71"/>
      <c r="KEE7" s="71"/>
      <c r="KEF7" s="71"/>
      <c r="KEG7" s="71"/>
      <c r="KEH7" s="71"/>
      <c r="KEI7" s="71"/>
      <c r="KEJ7" s="71"/>
      <c r="KEK7" s="71"/>
      <c r="KEL7" s="71"/>
      <c r="KEM7" s="71"/>
      <c r="KEN7" s="71"/>
      <c r="KEO7" s="71"/>
      <c r="KEP7" s="71"/>
      <c r="KEQ7" s="71"/>
      <c r="KER7" s="71"/>
      <c r="KES7" s="71"/>
      <c r="KET7" s="71"/>
      <c r="KEU7" s="71"/>
      <c r="KEV7" s="71"/>
      <c r="KEW7" s="71"/>
      <c r="KEX7" s="71"/>
      <c r="KEY7" s="71"/>
      <c r="KEZ7" s="71"/>
      <c r="KFA7" s="71"/>
      <c r="KFB7" s="71"/>
      <c r="KFC7" s="71"/>
      <c r="KFD7" s="71"/>
      <c r="KFE7" s="71"/>
      <c r="KFF7" s="71"/>
      <c r="KFG7" s="71"/>
      <c r="KFH7" s="71"/>
      <c r="KFI7" s="71"/>
      <c r="KFJ7" s="71"/>
      <c r="KFK7" s="71"/>
      <c r="KFL7" s="71"/>
      <c r="KFM7" s="71"/>
      <c r="KFN7" s="71"/>
      <c r="KFO7" s="71"/>
      <c r="KFP7" s="71"/>
      <c r="KFQ7" s="71"/>
      <c r="KFR7" s="71"/>
      <c r="KFS7" s="71"/>
      <c r="KFT7" s="71"/>
      <c r="KFU7" s="71"/>
      <c r="KFV7" s="71"/>
      <c r="KFW7" s="71"/>
      <c r="KFX7" s="71"/>
      <c r="KFY7" s="71"/>
      <c r="KFZ7" s="71"/>
      <c r="KGA7" s="71"/>
      <c r="KGB7" s="71"/>
      <c r="KGC7" s="71"/>
      <c r="KGD7" s="71"/>
      <c r="KGE7" s="71"/>
      <c r="KGF7" s="71"/>
      <c r="KGG7" s="71"/>
      <c r="KGH7" s="71"/>
      <c r="KGI7" s="71"/>
      <c r="KGJ7" s="71"/>
      <c r="KGK7" s="71"/>
      <c r="KGL7" s="71"/>
      <c r="KGM7" s="71"/>
      <c r="KGN7" s="71"/>
      <c r="KGO7" s="71"/>
      <c r="KGP7" s="71"/>
      <c r="KGQ7" s="71"/>
      <c r="KGR7" s="71"/>
      <c r="KGS7" s="71"/>
      <c r="KGT7" s="71"/>
      <c r="KGU7" s="71"/>
      <c r="KGV7" s="71"/>
      <c r="KGW7" s="71"/>
      <c r="KGX7" s="71"/>
      <c r="KGY7" s="71"/>
      <c r="KGZ7" s="71"/>
      <c r="KHA7" s="71"/>
      <c r="KHB7" s="71"/>
      <c r="KHC7" s="71"/>
      <c r="KHD7" s="71"/>
      <c r="KHE7" s="71"/>
      <c r="KHF7" s="71"/>
      <c r="KHG7" s="71"/>
      <c r="KHH7" s="71"/>
      <c r="KHI7" s="71"/>
      <c r="KHJ7" s="71"/>
      <c r="KHK7" s="71"/>
      <c r="KHL7" s="71"/>
      <c r="KHM7" s="71"/>
      <c r="KHN7" s="71"/>
      <c r="KHO7" s="71"/>
      <c r="KHP7" s="71"/>
      <c r="KHQ7" s="71"/>
      <c r="KHR7" s="71"/>
      <c r="KHS7" s="71"/>
      <c r="KHT7" s="71"/>
      <c r="KHU7" s="71"/>
      <c r="KHV7" s="71"/>
      <c r="KHW7" s="71"/>
      <c r="KHX7" s="71"/>
      <c r="KHY7" s="71"/>
      <c r="KHZ7" s="71"/>
      <c r="KIA7" s="71"/>
      <c r="KIB7" s="71"/>
      <c r="KIC7" s="71"/>
      <c r="KID7" s="71"/>
      <c r="KIE7" s="71"/>
      <c r="KIF7" s="71"/>
      <c r="KIG7" s="71"/>
      <c r="KIH7" s="71"/>
      <c r="KII7" s="71"/>
      <c r="KIJ7" s="71"/>
      <c r="KIK7" s="71"/>
      <c r="KIL7" s="71"/>
      <c r="KIM7" s="71"/>
      <c r="KIN7" s="71"/>
      <c r="KIO7" s="71"/>
      <c r="KIP7" s="71"/>
      <c r="KIQ7" s="71"/>
      <c r="KIR7" s="71"/>
      <c r="KIS7" s="71"/>
      <c r="KIT7" s="71"/>
      <c r="KIU7" s="71"/>
      <c r="KIV7" s="71"/>
      <c r="KIW7" s="71"/>
      <c r="KIX7" s="71"/>
      <c r="KIY7" s="71"/>
      <c r="KIZ7" s="71"/>
      <c r="KJA7" s="71"/>
      <c r="KJB7" s="71"/>
      <c r="KJC7" s="71"/>
      <c r="KJD7" s="71"/>
      <c r="KJE7" s="71"/>
      <c r="KJF7" s="71"/>
      <c r="KJG7" s="71"/>
      <c r="KJH7" s="71"/>
      <c r="KJI7" s="71"/>
      <c r="KJJ7" s="71"/>
      <c r="KJK7" s="71"/>
      <c r="KJL7" s="71"/>
      <c r="KJM7" s="71"/>
      <c r="KJN7" s="71"/>
      <c r="KJO7" s="71"/>
      <c r="KJP7" s="71"/>
      <c r="KJQ7" s="71"/>
      <c r="KJR7" s="71"/>
      <c r="KJS7" s="71"/>
      <c r="KJT7" s="71"/>
      <c r="KJU7" s="71"/>
      <c r="KJV7" s="71"/>
      <c r="KJW7" s="71"/>
      <c r="KJX7" s="71"/>
      <c r="KJY7" s="71"/>
      <c r="KJZ7" s="71"/>
      <c r="KKA7" s="71"/>
      <c r="KKB7" s="71"/>
      <c r="KKC7" s="71"/>
      <c r="KKD7" s="71"/>
      <c r="KKE7" s="71"/>
      <c r="KKF7" s="71"/>
      <c r="KKG7" s="71"/>
      <c r="KKH7" s="71"/>
      <c r="KKI7" s="71"/>
      <c r="KKJ7" s="71"/>
      <c r="KKK7" s="71"/>
      <c r="KKL7" s="71"/>
      <c r="KKM7" s="71"/>
      <c r="KKN7" s="71"/>
      <c r="KKO7" s="71"/>
      <c r="KKP7" s="71"/>
      <c r="KKQ7" s="71"/>
      <c r="KKR7" s="71"/>
      <c r="KKS7" s="71"/>
      <c r="KKT7" s="71"/>
      <c r="KKU7" s="71"/>
      <c r="KKV7" s="71"/>
      <c r="KKW7" s="71"/>
      <c r="KKX7" s="71"/>
      <c r="KKY7" s="71"/>
      <c r="KKZ7" s="71"/>
      <c r="KLA7" s="71"/>
      <c r="KLB7" s="71"/>
      <c r="KLC7" s="71"/>
      <c r="KLD7" s="71"/>
      <c r="KLE7" s="71"/>
      <c r="KLF7" s="71"/>
      <c r="KLG7" s="71"/>
      <c r="KLH7" s="71"/>
      <c r="KLI7" s="71"/>
      <c r="KLJ7" s="71"/>
      <c r="KLK7" s="71"/>
      <c r="KLL7" s="71"/>
      <c r="KLM7" s="71"/>
      <c r="KLN7" s="71"/>
      <c r="KLO7" s="71"/>
      <c r="KLP7" s="71"/>
      <c r="KLQ7" s="71"/>
      <c r="KLR7" s="71"/>
      <c r="KLS7" s="71"/>
      <c r="KLT7" s="71"/>
      <c r="KLU7" s="71"/>
      <c r="KLV7" s="71"/>
      <c r="KLW7" s="71"/>
      <c r="KLX7" s="71"/>
      <c r="KLY7" s="71"/>
      <c r="KLZ7" s="71"/>
      <c r="KMA7" s="71"/>
      <c r="KMB7" s="71"/>
      <c r="KMC7" s="71"/>
      <c r="KMD7" s="71"/>
      <c r="KME7" s="71"/>
      <c r="KMF7" s="71"/>
      <c r="KMG7" s="71"/>
      <c r="KMH7" s="71"/>
      <c r="KMI7" s="71"/>
      <c r="KMJ7" s="71"/>
      <c r="KMK7" s="71"/>
      <c r="KML7" s="71"/>
      <c r="KMM7" s="71"/>
      <c r="KMN7" s="71"/>
      <c r="KMO7" s="71"/>
      <c r="KMP7" s="71"/>
      <c r="KMQ7" s="71"/>
      <c r="KMR7" s="71"/>
      <c r="KMS7" s="71"/>
      <c r="KMT7" s="71"/>
      <c r="KMU7" s="71"/>
      <c r="KMV7" s="71"/>
      <c r="KMW7" s="71"/>
      <c r="KMX7" s="71"/>
      <c r="KMY7" s="71"/>
      <c r="KMZ7" s="71"/>
      <c r="KNA7" s="71"/>
      <c r="KNB7" s="71"/>
      <c r="KNC7" s="71"/>
      <c r="KND7" s="71"/>
      <c r="KNE7" s="71"/>
      <c r="KNF7" s="71"/>
      <c r="KNG7" s="71"/>
      <c r="KNH7" s="71"/>
      <c r="KNI7" s="71"/>
      <c r="KNJ7" s="71"/>
      <c r="KNK7" s="71"/>
      <c r="KNL7" s="71"/>
      <c r="KNM7" s="71"/>
      <c r="KNN7" s="71"/>
      <c r="KNO7" s="71"/>
      <c r="KNP7" s="71"/>
      <c r="KNQ7" s="71"/>
      <c r="KNR7" s="71"/>
      <c r="KNS7" s="71"/>
      <c r="KNT7" s="71"/>
      <c r="KNU7" s="71"/>
      <c r="KNV7" s="71"/>
      <c r="KNW7" s="71"/>
      <c r="KNX7" s="71"/>
      <c r="KNY7" s="71"/>
      <c r="KNZ7" s="71"/>
      <c r="KOA7" s="71"/>
      <c r="KOB7" s="71"/>
      <c r="KOC7" s="71"/>
      <c r="KOD7" s="71"/>
      <c r="KOE7" s="71"/>
      <c r="KOF7" s="71"/>
      <c r="KOG7" s="71"/>
      <c r="KOH7" s="71"/>
      <c r="KOI7" s="71"/>
      <c r="KOJ7" s="71"/>
      <c r="KOK7" s="71"/>
      <c r="KOL7" s="71"/>
      <c r="KOM7" s="71"/>
      <c r="KON7" s="71"/>
      <c r="KOO7" s="71"/>
      <c r="KOP7" s="71"/>
      <c r="KOQ7" s="71"/>
      <c r="KOR7" s="71"/>
      <c r="KOS7" s="71"/>
      <c r="KOT7" s="71"/>
      <c r="KOU7" s="71"/>
      <c r="KOV7" s="71"/>
      <c r="KOW7" s="71"/>
      <c r="KOX7" s="71"/>
      <c r="KOY7" s="71"/>
      <c r="KOZ7" s="71"/>
      <c r="KPA7" s="71"/>
      <c r="KPB7" s="71"/>
      <c r="KPC7" s="71"/>
      <c r="KPD7" s="71"/>
      <c r="KPE7" s="71"/>
      <c r="KPF7" s="71"/>
      <c r="KPG7" s="71"/>
      <c r="KPH7" s="71"/>
      <c r="KPI7" s="71"/>
      <c r="KPJ7" s="71"/>
      <c r="KPK7" s="71"/>
      <c r="KPL7" s="71"/>
      <c r="KPM7" s="71"/>
      <c r="KPN7" s="71"/>
      <c r="KPO7" s="71"/>
      <c r="KPP7" s="71"/>
      <c r="KPQ7" s="71"/>
      <c r="KPR7" s="71"/>
      <c r="KPS7" s="71"/>
      <c r="KPT7" s="71"/>
      <c r="KPU7" s="71"/>
      <c r="KPV7" s="71"/>
      <c r="KPW7" s="71"/>
      <c r="KPX7" s="71"/>
      <c r="KPY7" s="71"/>
      <c r="KPZ7" s="71"/>
      <c r="KQA7" s="71"/>
      <c r="KQB7" s="71"/>
      <c r="KQC7" s="71"/>
      <c r="KQD7" s="71"/>
      <c r="KQE7" s="71"/>
      <c r="KQF7" s="71"/>
      <c r="KQG7" s="71"/>
      <c r="KQH7" s="71"/>
      <c r="KQI7" s="71"/>
      <c r="KQJ7" s="71"/>
      <c r="KQK7" s="71"/>
      <c r="KQL7" s="71"/>
      <c r="KQM7" s="71"/>
      <c r="KQN7" s="71"/>
      <c r="KQO7" s="71"/>
      <c r="KQP7" s="71"/>
      <c r="KQQ7" s="71"/>
      <c r="KQR7" s="71"/>
      <c r="KQS7" s="71"/>
      <c r="KQT7" s="71"/>
      <c r="KQU7" s="71"/>
      <c r="KQV7" s="71"/>
      <c r="KQW7" s="71"/>
      <c r="KQX7" s="71"/>
      <c r="KQY7" s="71"/>
      <c r="KQZ7" s="71"/>
      <c r="KRA7" s="71"/>
      <c r="KRB7" s="71"/>
      <c r="KRC7" s="71"/>
      <c r="KRD7" s="71"/>
      <c r="KRE7" s="71"/>
      <c r="KRF7" s="71"/>
      <c r="KRG7" s="71"/>
      <c r="KRH7" s="71"/>
      <c r="KRI7" s="71"/>
      <c r="KRJ7" s="71"/>
      <c r="KRK7" s="71"/>
      <c r="KRL7" s="71"/>
      <c r="KRM7" s="71"/>
      <c r="KRN7" s="71"/>
      <c r="KRO7" s="71"/>
      <c r="KRP7" s="71"/>
      <c r="KRQ7" s="71"/>
      <c r="KRR7" s="71"/>
      <c r="KRS7" s="71"/>
      <c r="KRT7" s="71"/>
      <c r="KRU7" s="71"/>
      <c r="KRV7" s="71"/>
      <c r="KRW7" s="71"/>
      <c r="KRX7" s="71"/>
      <c r="KRY7" s="71"/>
      <c r="KRZ7" s="71"/>
      <c r="KSA7" s="71"/>
      <c r="KSB7" s="71"/>
      <c r="KSC7" s="71"/>
      <c r="KSD7" s="71"/>
      <c r="KSE7" s="71"/>
      <c r="KSF7" s="71"/>
      <c r="KSG7" s="71"/>
      <c r="KSH7" s="71"/>
      <c r="KSI7" s="71"/>
      <c r="KSJ7" s="71"/>
      <c r="KSK7" s="71"/>
      <c r="KSL7" s="71"/>
      <c r="KSM7" s="71"/>
      <c r="KSN7" s="71"/>
      <c r="KSO7" s="71"/>
      <c r="KSP7" s="71"/>
      <c r="KSQ7" s="71"/>
      <c r="KSR7" s="71"/>
      <c r="KSS7" s="71"/>
      <c r="KST7" s="71"/>
      <c r="KSU7" s="71"/>
      <c r="KSV7" s="71"/>
      <c r="KSW7" s="71"/>
      <c r="KSX7" s="71"/>
      <c r="KSY7" s="71"/>
      <c r="KSZ7" s="71"/>
      <c r="KTA7" s="71"/>
      <c r="KTB7" s="71"/>
      <c r="KTC7" s="71"/>
      <c r="KTD7" s="71"/>
      <c r="KTE7" s="71"/>
      <c r="KTF7" s="71"/>
      <c r="KTG7" s="71"/>
      <c r="KTH7" s="71"/>
      <c r="KTI7" s="71"/>
      <c r="KTJ7" s="71"/>
      <c r="KTK7" s="71"/>
      <c r="KTL7" s="71"/>
      <c r="KTM7" s="71"/>
      <c r="KTN7" s="71"/>
      <c r="KTO7" s="71"/>
      <c r="KTP7" s="71"/>
      <c r="KTQ7" s="71"/>
      <c r="KTR7" s="71"/>
      <c r="KTS7" s="71"/>
      <c r="KTT7" s="71"/>
      <c r="KTU7" s="71"/>
      <c r="KTV7" s="71"/>
      <c r="KTW7" s="71"/>
      <c r="KTX7" s="71"/>
      <c r="KTY7" s="71"/>
      <c r="KTZ7" s="71"/>
      <c r="KUA7" s="71"/>
      <c r="KUB7" s="71"/>
      <c r="KUC7" s="71"/>
      <c r="KUD7" s="71"/>
      <c r="KUE7" s="71"/>
      <c r="KUF7" s="71"/>
      <c r="KUG7" s="71"/>
      <c r="KUH7" s="71"/>
      <c r="KUI7" s="71"/>
      <c r="KUJ7" s="71"/>
      <c r="KUK7" s="71"/>
      <c r="KUL7" s="71"/>
      <c r="KUM7" s="71"/>
      <c r="KUN7" s="71"/>
      <c r="KUO7" s="71"/>
      <c r="KUP7" s="71"/>
      <c r="KUQ7" s="71"/>
      <c r="KUR7" s="71"/>
      <c r="KUS7" s="71"/>
      <c r="KUT7" s="71"/>
      <c r="KUU7" s="71"/>
      <c r="KUV7" s="71"/>
      <c r="KUW7" s="71"/>
      <c r="KUX7" s="71"/>
      <c r="KUY7" s="71"/>
      <c r="KUZ7" s="71"/>
      <c r="KVA7" s="71"/>
      <c r="KVB7" s="71"/>
      <c r="KVC7" s="71"/>
      <c r="KVD7" s="71"/>
      <c r="KVE7" s="71"/>
      <c r="KVF7" s="71"/>
      <c r="KVG7" s="71"/>
      <c r="KVH7" s="71"/>
      <c r="KVI7" s="71"/>
      <c r="KVJ7" s="71"/>
      <c r="KVK7" s="71"/>
      <c r="KVL7" s="71"/>
      <c r="KVM7" s="71"/>
      <c r="KVN7" s="71"/>
      <c r="KVO7" s="71"/>
      <c r="KVP7" s="71"/>
      <c r="KVQ7" s="71"/>
      <c r="KVR7" s="71"/>
      <c r="KVS7" s="71"/>
      <c r="KVT7" s="71"/>
      <c r="KVU7" s="71"/>
      <c r="KVV7" s="71"/>
      <c r="KVW7" s="71"/>
      <c r="KVX7" s="71"/>
      <c r="KVY7" s="71"/>
      <c r="KVZ7" s="71"/>
      <c r="KWA7" s="71"/>
      <c r="KWB7" s="71"/>
      <c r="KWC7" s="71"/>
      <c r="KWD7" s="71"/>
      <c r="KWE7" s="71"/>
      <c r="KWF7" s="71"/>
      <c r="KWG7" s="71"/>
      <c r="KWH7" s="71"/>
      <c r="KWI7" s="71"/>
      <c r="KWJ7" s="71"/>
      <c r="KWK7" s="71"/>
      <c r="KWL7" s="71"/>
      <c r="KWM7" s="71"/>
      <c r="KWN7" s="71"/>
      <c r="KWO7" s="71"/>
      <c r="KWP7" s="71"/>
      <c r="KWQ7" s="71"/>
      <c r="KWR7" s="71"/>
      <c r="KWS7" s="71"/>
      <c r="KWT7" s="71"/>
      <c r="KWU7" s="71"/>
      <c r="KWV7" s="71"/>
      <c r="KWW7" s="71"/>
      <c r="KWX7" s="71"/>
      <c r="KWY7" s="71"/>
      <c r="KWZ7" s="71"/>
      <c r="KXA7" s="71"/>
      <c r="KXB7" s="71"/>
      <c r="KXC7" s="71"/>
      <c r="KXD7" s="71"/>
      <c r="KXE7" s="71"/>
      <c r="KXF7" s="71"/>
      <c r="KXG7" s="71"/>
      <c r="KXH7" s="71"/>
      <c r="KXI7" s="71"/>
      <c r="KXJ7" s="71"/>
      <c r="KXK7" s="71"/>
      <c r="KXL7" s="71"/>
      <c r="KXM7" s="71"/>
      <c r="KXN7" s="71"/>
      <c r="KXO7" s="71"/>
      <c r="KXP7" s="71"/>
      <c r="KXQ7" s="71"/>
      <c r="KXR7" s="71"/>
      <c r="KXS7" s="71"/>
      <c r="KXT7" s="71"/>
      <c r="KXU7" s="71"/>
      <c r="KXV7" s="71"/>
      <c r="KXW7" s="71"/>
      <c r="KXX7" s="71"/>
      <c r="KXY7" s="71"/>
      <c r="KXZ7" s="71"/>
      <c r="KYA7" s="71"/>
      <c r="KYB7" s="71"/>
      <c r="KYC7" s="71"/>
      <c r="KYD7" s="71"/>
      <c r="KYE7" s="71"/>
      <c r="KYF7" s="71"/>
      <c r="KYG7" s="71"/>
      <c r="KYH7" s="71"/>
      <c r="KYI7" s="71"/>
      <c r="KYJ7" s="71"/>
      <c r="KYK7" s="71"/>
      <c r="KYL7" s="71"/>
      <c r="KYM7" s="71"/>
      <c r="KYN7" s="71"/>
      <c r="KYO7" s="71"/>
      <c r="KYP7" s="71"/>
      <c r="KYQ7" s="71"/>
      <c r="KYR7" s="71"/>
      <c r="KYS7" s="71"/>
      <c r="KYT7" s="71"/>
      <c r="KYU7" s="71"/>
      <c r="KYV7" s="71"/>
      <c r="KYW7" s="71"/>
      <c r="KYX7" s="71"/>
      <c r="KYY7" s="71"/>
      <c r="KYZ7" s="71"/>
      <c r="KZA7" s="71"/>
      <c r="KZB7" s="71"/>
      <c r="KZC7" s="71"/>
      <c r="KZD7" s="71"/>
      <c r="KZE7" s="71"/>
      <c r="KZF7" s="71"/>
      <c r="KZG7" s="71"/>
      <c r="KZH7" s="71"/>
      <c r="KZI7" s="71"/>
      <c r="KZJ7" s="71"/>
      <c r="KZK7" s="71"/>
      <c r="KZL7" s="71"/>
      <c r="KZM7" s="71"/>
      <c r="KZN7" s="71"/>
      <c r="KZO7" s="71"/>
      <c r="KZP7" s="71"/>
      <c r="KZQ7" s="71"/>
      <c r="KZR7" s="71"/>
      <c r="KZS7" s="71"/>
      <c r="KZT7" s="71"/>
      <c r="KZU7" s="71"/>
      <c r="KZV7" s="71"/>
      <c r="KZW7" s="71"/>
      <c r="KZX7" s="71"/>
      <c r="KZY7" s="71"/>
      <c r="KZZ7" s="71"/>
      <c r="LAA7" s="71"/>
      <c r="LAB7" s="71"/>
      <c r="LAC7" s="71"/>
      <c r="LAD7" s="71"/>
      <c r="LAE7" s="71"/>
      <c r="LAF7" s="71"/>
      <c r="LAG7" s="71"/>
      <c r="LAH7" s="71"/>
      <c r="LAI7" s="71"/>
      <c r="LAJ7" s="71"/>
      <c r="LAK7" s="71"/>
      <c r="LAL7" s="71"/>
      <c r="LAM7" s="71"/>
      <c r="LAN7" s="71"/>
      <c r="LAO7" s="71"/>
      <c r="LAP7" s="71"/>
      <c r="LAQ7" s="71"/>
      <c r="LAR7" s="71"/>
      <c r="LAS7" s="71"/>
      <c r="LAT7" s="71"/>
      <c r="LAU7" s="71"/>
      <c r="LAV7" s="71"/>
      <c r="LAW7" s="71"/>
      <c r="LAX7" s="71"/>
      <c r="LAY7" s="71"/>
      <c r="LAZ7" s="71"/>
      <c r="LBA7" s="71"/>
      <c r="LBB7" s="71"/>
      <c r="LBC7" s="71"/>
      <c r="LBD7" s="71"/>
      <c r="LBE7" s="71"/>
      <c r="LBF7" s="71"/>
      <c r="LBG7" s="71"/>
      <c r="LBH7" s="71"/>
      <c r="LBI7" s="71"/>
      <c r="LBJ7" s="71"/>
      <c r="LBK7" s="71"/>
      <c r="LBL7" s="71"/>
      <c r="LBM7" s="71"/>
      <c r="LBN7" s="71"/>
      <c r="LBO7" s="71"/>
      <c r="LBP7" s="71"/>
      <c r="LBQ7" s="71"/>
      <c r="LBR7" s="71"/>
      <c r="LBS7" s="71"/>
      <c r="LBT7" s="71"/>
      <c r="LBU7" s="71"/>
      <c r="LBV7" s="71"/>
      <c r="LBW7" s="71"/>
      <c r="LBX7" s="71"/>
      <c r="LBY7" s="71"/>
      <c r="LBZ7" s="71"/>
      <c r="LCA7" s="71"/>
      <c r="LCB7" s="71"/>
      <c r="LCC7" s="71"/>
      <c r="LCD7" s="71"/>
      <c r="LCE7" s="71"/>
      <c r="LCF7" s="71"/>
      <c r="LCG7" s="71"/>
      <c r="LCH7" s="71"/>
      <c r="LCI7" s="71"/>
      <c r="LCJ7" s="71"/>
      <c r="LCK7" s="71"/>
      <c r="LCL7" s="71"/>
      <c r="LCM7" s="71"/>
      <c r="LCN7" s="71"/>
      <c r="LCO7" s="71"/>
      <c r="LCP7" s="71"/>
      <c r="LCQ7" s="71"/>
      <c r="LCR7" s="71"/>
      <c r="LCS7" s="71"/>
      <c r="LCT7" s="71"/>
      <c r="LCU7" s="71"/>
      <c r="LCV7" s="71"/>
      <c r="LCW7" s="71"/>
      <c r="LCX7" s="71"/>
      <c r="LCY7" s="71"/>
      <c r="LCZ7" s="71"/>
      <c r="LDA7" s="71"/>
      <c r="LDB7" s="71"/>
      <c r="LDC7" s="71"/>
      <c r="LDD7" s="71"/>
      <c r="LDE7" s="71"/>
      <c r="LDF7" s="71"/>
      <c r="LDG7" s="71"/>
      <c r="LDH7" s="71"/>
      <c r="LDI7" s="71"/>
      <c r="LDJ7" s="71"/>
      <c r="LDK7" s="71"/>
      <c r="LDL7" s="71"/>
      <c r="LDM7" s="71"/>
      <c r="LDN7" s="71"/>
      <c r="LDO7" s="71"/>
      <c r="LDP7" s="71"/>
      <c r="LDQ7" s="71"/>
      <c r="LDR7" s="71"/>
      <c r="LDS7" s="71"/>
      <c r="LDT7" s="71"/>
      <c r="LDU7" s="71"/>
      <c r="LDV7" s="71"/>
      <c r="LDW7" s="71"/>
      <c r="LDX7" s="71"/>
      <c r="LDY7" s="71"/>
      <c r="LDZ7" s="71"/>
      <c r="LEA7" s="71"/>
      <c r="LEB7" s="71"/>
      <c r="LEC7" s="71"/>
      <c r="LED7" s="71"/>
      <c r="LEE7" s="71"/>
      <c r="LEF7" s="71"/>
      <c r="LEG7" s="71"/>
      <c r="LEH7" s="71"/>
      <c r="LEI7" s="71"/>
      <c r="LEJ7" s="71"/>
      <c r="LEK7" s="71"/>
      <c r="LEL7" s="71"/>
      <c r="LEM7" s="71"/>
      <c r="LEN7" s="71"/>
      <c r="LEO7" s="71"/>
      <c r="LEP7" s="71"/>
      <c r="LEQ7" s="71"/>
      <c r="LER7" s="71"/>
      <c r="LES7" s="71"/>
      <c r="LET7" s="71"/>
      <c r="LEU7" s="71"/>
      <c r="LEV7" s="71"/>
      <c r="LEW7" s="71"/>
      <c r="LEX7" s="71"/>
      <c r="LEY7" s="71"/>
      <c r="LEZ7" s="71"/>
      <c r="LFA7" s="71"/>
      <c r="LFB7" s="71"/>
      <c r="LFC7" s="71"/>
      <c r="LFD7" s="71"/>
      <c r="LFE7" s="71"/>
      <c r="LFF7" s="71"/>
      <c r="LFG7" s="71"/>
      <c r="LFH7" s="71"/>
      <c r="LFI7" s="71"/>
      <c r="LFJ7" s="71"/>
      <c r="LFK7" s="71"/>
      <c r="LFL7" s="71"/>
      <c r="LFM7" s="71"/>
      <c r="LFN7" s="71"/>
      <c r="LFO7" s="71"/>
      <c r="LFP7" s="71"/>
      <c r="LFQ7" s="71"/>
      <c r="LFR7" s="71"/>
      <c r="LFS7" s="71"/>
      <c r="LFT7" s="71"/>
      <c r="LFU7" s="71"/>
      <c r="LFV7" s="71"/>
      <c r="LFW7" s="71"/>
      <c r="LFX7" s="71"/>
      <c r="LFY7" s="71"/>
      <c r="LFZ7" s="71"/>
      <c r="LGA7" s="71"/>
      <c r="LGB7" s="71"/>
      <c r="LGC7" s="71"/>
      <c r="LGD7" s="71"/>
      <c r="LGE7" s="71"/>
      <c r="LGF7" s="71"/>
      <c r="LGG7" s="71"/>
      <c r="LGH7" s="71"/>
      <c r="LGI7" s="71"/>
      <c r="LGJ7" s="71"/>
      <c r="LGK7" s="71"/>
      <c r="LGL7" s="71"/>
      <c r="LGM7" s="71"/>
      <c r="LGN7" s="71"/>
      <c r="LGO7" s="71"/>
      <c r="LGP7" s="71"/>
      <c r="LGQ7" s="71"/>
      <c r="LGR7" s="71"/>
      <c r="LGS7" s="71"/>
      <c r="LGT7" s="71"/>
      <c r="LGU7" s="71"/>
      <c r="LGV7" s="71"/>
      <c r="LGW7" s="71"/>
      <c r="LGX7" s="71"/>
      <c r="LGY7" s="71"/>
      <c r="LGZ7" s="71"/>
      <c r="LHA7" s="71"/>
      <c r="LHB7" s="71"/>
      <c r="LHC7" s="71"/>
      <c r="LHD7" s="71"/>
      <c r="LHE7" s="71"/>
      <c r="LHF7" s="71"/>
      <c r="LHG7" s="71"/>
      <c r="LHH7" s="71"/>
      <c r="LHI7" s="71"/>
      <c r="LHJ7" s="71"/>
      <c r="LHK7" s="71"/>
      <c r="LHL7" s="71"/>
      <c r="LHM7" s="71"/>
      <c r="LHN7" s="71"/>
      <c r="LHO7" s="71"/>
      <c r="LHP7" s="71"/>
      <c r="LHQ7" s="71"/>
      <c r="LHR7" s="71"/>
      <c r="LHS7" s="71"/>
      <c r="LHT7" s="71"/>
      <c r="LHU7" s="71"/>
      <c r="LHV7" s="71"/>
      <c r="LHW7" s="71"/>
      <c r="LHX7" s="71"/>
      <c r="LHY7" s="71"/>
      <c r="LHZ7" s="71"/>
      <c r="LIA7" s="71"/>
      <c r="LIB7" s="71"/>
      <c r="LIC7" s="71"/>
      <c r="LID7" s="71"/>
      <c r="LIE7" s="71"/>
      <c r="LIF7" s="71"/>
      <c r="LIG7" s="71"/>
      <c r="LIH7" s="71"/>
      <c r="LII7" s="71"/>
      <c r="LIJ7" s="71"/>
      <c r="LIK7" s="71"/>
      <c r="LIL7" s="71"/>
      <c r="LIM7" s="71"/>
      <c r="LIN7" s="71"/>
      <c r="LIO7" s="71"/>
      <c r="LIP7" s="71"/>
      <c r="LIQ7" s="71"/>
      <c r="LIR7" s="71"/>
      <c r="LIS7" s="71"/>
      <c r="LIT7" s="71"/>
      <c r="LIU7" s="71"/>
      <c r="LIV7" s="71"/>
      <c r="LIW7" s="71"/>
      <c r="LIX7" s="71"/>
      <c r="LIY7" s="71"/>
      <c r="LIZ7" s="71"/>
      <c r="LJA7" s="71"/>
      <c r="LJB7" s="71"/>
      <c r="LJC7" s="71"/>
      <c r="LJD7" s="71"/>
      <c r="LJE7" s="71"/>
      <c r="LJF7" s="71"/>
      <c r="LJG7" s="71"/>
      <c r="LJH7" s="71"/>
      <c r="LJI7" s="71"/>
      <c r="LJJ7" s="71"/>
      <c r="LJK7" s="71"/>
      <c r="LJL7" s="71"/>
      <c r="LJM7" s="71"/>
      <c r="LJN7" s="71"/>
      <c r="LJO7" s="71"/>
      <c r="LJP7" s="71"/>
      <c r="LJQ7" s="71"/>
      <c r="LJR7" s="71"/>
      <c r="LJS7" s="71"/>
      <c r="LJT7" s="71"/>
      <c r="LJU7" s="71"/>
      <c r="LJV7" s="71"/>
      <c r="LJW7" s="71"/>
      <c r="LJX7" s="71"/>
      <c r="LJY7" s="71"/>
      <c r="LJZ7" s="71"/>
      <c r="LKA7" s="71"/>
      <c r="LKB7" s="71"/>
      <c r="LKC7" s="71"/>
      <c r="LKD7" s="71"/>
      <c r="LKE7" s="71"/>
      <c r="LKF7" s="71"/>
      <c r="LKG7" s="71"/>
      <c r="LKH7" s="71"/>
      <c r="LKI7" s="71"/>
      <c r="LKJ7" s="71"/>
      <c r="LKK7" s="71"/>
      <c r="LKL7" s="71"/>
      <c r="LKM7" s="71"/>
      <c r="LKN7" s="71"/>
      <c r="LKO7" s="71"/>
      <c r="LKP7" s="71"/>
      <c r="LKQ7" s="71"/>
      <c r="LKR7" s="71"/>
      <c r="LKS7" s="71"/>
      <c r="LKT7" s="71"/>
      <c r="LKU7" s="71"/>
      <c r="LKV7" s="71"/>
      <c r="LKW7" s="71"/>
      <c r="LKX7" s="71"/>
      <c r="LKY7" s="71"/>
      <c r="LKZ7" s="71"/>
      <c r="LLA7" s="71"/>
      <c r="LLB7" s="71"/>
      <c r="LLC7" s="71"/>
      <c r="LLD7" s="71"/>
      <c r="LLE7" s="71"/>
      <c r="LLF7" s="71"/>
      <c r="LLG7" s="71"/>
      <c r="LLH7" s="71"/>
      <c r="LLI7" s="71"/>
      <c r="LLJ7" s="71"/>
      <c r="LLK7" s="71"/>
      <c r="LLL7" s="71"/>
      <c r="LLM7" s="71"/>
      <c r="LLN7" s="71"/>
      <c r="LLO7" s="71"/>
      <c r="LLP7" s="71"/>
      <c r="LLQ7" s="71"/>
      <c r="LLR7" s="71"/>
      <c r="LLS7" s="71"/>
      <c r="LLT7" s="71"/>
      <c r="LLU7" s="71"/>
      <c r="LLV7" s="71"/>
      <c r="LLW7" s="71"/>
      <c r="LLX7" s="71"/>
      <c r="LLY7" s="71"/>
      <c r="LLZ7" s="71"/>
      <c r="LMA7" s="71"/>
      <c r="LMB7" s="71"/>
      <c r="LMC7" s="71"/>
      <c r="LMD7" s="71"/>
      <c r="LME7" s="71"/>
      <c r="LMF7" s="71"/>
      <c r="LMG7" s="71"/>
      <c r="LMH7" s="71"/>
      <c r="LMI7" s="71"/>
      <c r="LMJ7" s="71"/>
      <c r="LMK7" s="71"/>
      <c r="LML7" s="71"/>
      <c r="LMM7" s="71"/>
      <c r="LMN7" s="71"/>
      <c r="LMO7" s="71"/>
      <c r="LMP7" s="71"/>
      <c r="LMQ7" s="71"/>
      <c r="LMR7" s="71"/>
      <c r="LMS7" s="71"/>
      <c r="LMT7" s="71"/>
      <c r="LMU7" s="71"/>
      <c r="LMV7" s="71"/>
      <c r="LMW7" s="71"/>
      <c r="LMX7" s="71"/>
      <c r="LMY7" s="71"/>
      <c r="LMZ7" s="71"/>
      <c r="LNA7" s="71"/>
      <c r="LNB7" s="71"/>
      <c r="LNC7" s="71"/>
      <c r="LND7" s="71"/>
      <c r="LNE7" s="71"/>
      <c r="LNF7" s="71"/>
      <c r="LNG7" s="71"/>
      <c r="LNH7" s="71"/>
      <c r="LNI7" s="71"/>
      <c r="LNJ7" s="71"/>
      <c r="LNK7" s="71"/>
      <c r="LNL7" s="71"/>
      <c r="LNM7" s="71"/>
      <c r="LNN7" s="71"/>
      <c r="LNO7" s="71"/>
      <c r="LNP7" s="71"/>
      <c r="LNQ7" s="71"/>
      <c r="LNR7" s="71"/>
      <c r="LNS7" s="71"/>
      <c r="LNT7" s="71"/>
      <c r="LNU7" s="71"/>
      <c r="LNV7" s="71"/>
      <c r="LNW7" s="71"/>
      <c r="LNX7" s="71"/>
      <c r="LNY7" s="71"/>
      <c r="LNZ7" s="71"/>
      <c r="LOA7" s="71"/>
      <c r="LOB7" s="71"/>
      <c r="LOC7" s="71"/>
      <c r="LOD7" s="71"/>
      <c r="LOE7" s="71"/>
      <c r="LOF7" s="71"/>
      <c r="LOG7" s="71"/>
      <c r="LOH7" s="71"/>
      <c r="LOI7" s="71"/>
      <c r="LOJ7" s="71"/>
      <c r="LOK7" s="71"/>
      <c r="LOL7" s="71"/>
      <c r="LOM7" s="71"/>
      <c r="LON7" s="71"/>
      <c r="LOO7" s="71"/>
      <c r="LOP7" s="71"/>
      <c r="LOQ7" s="71"/>
      <c r="LOR7" s="71"/>
      <c r="LOS7" s="71"/>
      <c r="LOT7" s="71"/>
      <c r="LOU7" s="71"/>
      <c r="LOV7" s="71"/>
      <c r="LOW7" s="71"/>
      <c r="LOX7" s="71"/>
      <c r="LOY7" s="71"/>
      <c r="LOZ7" s="71"/>
      <c r="LPA7" s="71"/>
      <c r="LPB7" s="71"/>
      <c r="LPC7" s="71"/>
      <c r="LPD7" s="71"/>
      <c r="LPE7" s="71"/>
      <c r="LPF7" s="71"/>
      <c r="LPG7" s="71"/>
      <c r="LPH7" s="71"/>
      <c r="LPI7" s="71"/>
      <c r="LPJ7" s="71"/>
      <c r="LPK7" s="71"/>
      <c r="LPL7" s="71"/>
      <c r="LPM7" s="71"/>
      <c r="LPN7" s="71"/>
      <c r="LPO7" s="71"/>
      <c r="LPP7" s="71"/>
      <c r="LPQ7" s="71"/>
      <c r="LPR7" s="71"/>
      <c r="LPS7" s="71"/>
      <c r="LPT7" s="71"/>
      <c r="LPU7" s="71"/>
      <c r="LPV7" s="71"/>
      <c r="LPW7" s="71"/>
      <c r="LPX7" s="71"/>
      <c r="LPY7" s="71"/>
      <c r="LPZ7" s="71"/>
      <c r="LQA7" s="71"/>
      <c r="LQB7" s="71"/>
      <c r="LQC7" s="71"/>
      <c r="LQD7" s="71"/>
      <c r="LQE7" s="71"/>
      <c r="LQF7" s="71"/>
      <c r="LQG7" s="71"/>
      <c r="LQH7" s="71"/>
      <c r="LQI7" s="71"/>
      <c r="LQJ7" s="71"/>
      <c r="LQK7" s="71"/>
      <c r="LQL7" s="71"/>
      <c r="LQM7" s="71"/>
      <c r="LQN7" s="71"/>
      <c r="LQO7" s="71"/>
      <c r="LQP7" s="71"/>
      <c r="LQQ7" s="71"/>
      <c r="LQR7" s="71"/>
      <c r="LQS7" s="71"/>
      <c r="LQT7" s="71"/>
      <c r="LQU7" s="71"/>
      <c r="LQV7" s="71"/>
      <c r="LQW7" s="71"/>
      <c r="LQX7" s="71"/>
      <c r="LQY7" s="71"/>
      <c r="LQZ7" s="71"/>
      <c r="LRA7" s="71"/>
      <c r="LRB7" s="71"/>
      <c r="LRC7" s="71"/>
      <c r="LRD7" s="71"/>
      <c r="LRE7" s="71"/>
      <c r="LRF7" s="71"/>
      <c r="LRG7" s="71"/>
      <c r="LRH7" s="71"/>
      <c r="LRI7" s="71"/>
      <c r="LRJ7" s="71"/>
      <c r="LRK7" s="71"/>
      <c r="LRL7" s="71"/>
      <c r="LRM7" s="71"/>
      <c r="LRN7" s="71"/>
      <c r="LRO7" s="71"/>
      <c r="LRP7" s="71"/>
      <c r="LRQ7" s="71"/>
      <c r="LRR7" s="71"/>
      <c r="LRS7" s="71"/>
      <c r="LRT7" s="71"/>
      <c r="LRU7" s="71"/>
      <c r="LRV7" s="71"/>
      <c r="LRW7" s="71"/>
      <c r="LRX7" s="71"/>
      <c r="LRY7" s="71"/>
      <c r="LRZ7" s="71"/>
      <c r="LSA7" s="71"/>
      <c r="LSB7" s="71"/>
      <c r="LSC7" s="71"/>
      <c r="LSD7" s="71"/>
      <c r="LSE7" s="71"/>
      <c r="LSF7" s="71"/>
      <c r="LSG7" s="71"/>
      <c r="LSH7" s="71"/>
      <c r="LSI7" s="71"/>
      <c r="LSJ7" s="71"/>
      <c r="LSK7" s="71"/>
      <c r="LSL7" s="71"/>
      <c r="LSM7" s="71"/>
      <c r="LSN7" s="71"/>
      <c r="LSO7" s="71"/>
      <c r="LSP7" s="71"/>
      <c r="LSQ7" s="71"/>
      <c r="LSR7" s="71"/>
      <c r="LSS7" s="71"/>
      <c r="LST7" s="71"/>
      <c r="LSU7" s="71"/>
      <c r="LSV7" s="71"/>
      <c r="LSW7" s="71"/>
      <c r="LSX7" s="71"/>
      <c r="LSY7" s="71"/>
      <c r="LSZ7" s="71"/>
      <c r="LTA7" s="71"/>
      <c r="LTB7" s="71"/>
      <c r="LTC7" s="71"/>
      <c r="LTD7" s="71"/>
      <c r="LTE7" s="71"/>
      <c r="LTF7" s="71"/>
      <c r="LTG7" s="71"/>
      <c r="LTH7" s="71"/>
      <c r="LTI7" s="71"/>
      <c r="LTJ7" s="71"/>
      <c r="LTK7" s="71"/>
      <c r="LTL7" s="71"/>
      <c r="LTM7" s="71"/>
      <c r="LTN7" s="71"/>
      <c r="LTO7" s="71"/>
      <c r="LTP7" s="71"/>
      <c r="LTQ7" s="71"/>
      <c r="LTR7" s="71"/>
      <c r="LTS7" s="71"/>
      <c r="LTT7" s="71"/>
      <c r="LTU7" s="71"/>
      <c r="LTV7" s="71"/>
      <c r="LTW7" s="71"/>
      <c r="LTX7" s="71"/>
      <c r="LTY7" s="71"/>
      <c r="LTZ7" s="71"/>
      <c r="LUA7" s="71"/>
      <c r="LUB7" s="71"/>
      <c r="LUC7" s="71"/>
      <c r="LUD7" s="71"/>
      <c r="LUE7" s="71"/>
      <c r="LUF7" s="71"/>
      <c r="LUG7" s="71"/>
      <c r="LUH7" s="71"/>
      <c r="LUI7" s="71"/>
      <c r="LUJ7" s="71"/>
      <c r="LUK7" s="71"/>
      <c r="LUL7" s="71"/>
      <c r="LUM7" s="71"/>
      <c r="LUN7" s="71"/>
      <c r="LUO7" s="71"/>
      <c r="LUP7" s="71"/>
      <c r="LUQ7" s="71"/>
      <c r="LUR7" s="71"/>
      <c r="LUS7" s="71"/>
      <c r="LUT7" s="71"/>
      <c r="LUU7" s="71"/>
      <c r="LUV7" s="71"/>
      <c r="LUW7" s="71"/>
      <c r="LUX7" s="71"/>
      <c r="LUY7" s="71"/>
      <c r="LUZ7" s="71"/>
      <c r="LVA7" s="71"/>
      <c r="LVB7" s="71"/>
      <c r="LVC7" s="71"/>
      <c r="LVD7" s="71"/>
      <c r="LVE7" s="71"/>
      <c r="LVF7" s="71"/>
      <c r="LVG7" s="71"/>
      <c r="LVH7" s="71"/>
      <c r="LVI7" s="71"/>
      <c r="LVJ7" s="71"/>
      <c r="LVK7" s="71"/>
      <c r="LVL7" s="71"/>
      <c r="LVM7" s="71"/>
      <c r="LVN7" s="71"/>
      <c r="LVO7" s="71"/>
      <c r="LVP7" s="71"/>
      <c r="LVQ7" s="71"/>
      <c r="LVR7" s="71"/>
      <c r="LVS7" s="71"/>
      <c r="LVT7" s="71"/>
      <c r="LVU7" s="71"/>
      <c r="LVV7" s="71"/>
      <c r="LVW7" s="71"/>
      <c r="LVX7" s="71"/>
      <c r="LVY7" s="71"/>
      <c r="LVZ7" s="71"/>
      <c r="LWA7" s="71"/>
      <c r="LWB7" s="71"/>
      <c r="LWC7" s="71"/>
      <c r="LWD7" s="71"/>
      <c r="LWE7" s="71"/>
      <c r="LWF7" s="71"/>
      <c r="LWG7" s="71"/>
      <c r="LWH7" s="71"/>
      <c r="LWI7" s="71"/>
      <c r="LWJ7" s="71"/>
      <c r="LWK7" s="71"/>
      <c r="LWL7" s="71"/>
      <c r="LWM7" s="71"/>
      <c r="LWN7" s="71"/>
      <c r="LWO7" s="71"/>
      <c r="LWP7" s="71"/>
      <c r="LWQ7" s="71"/>
      <c r="LWR7" s="71"/>
      <c r="LWS7" s="71"/>
      <c r="LWT7" s="71"/>
      <c r="LWU7" s="71"/>
      <c r="LWV7" s="71"/>
      <c r="LWW7" s="71"/>
      <c r="LWX7" s="71"/>
      <c r="LWY7" s="71"/>
      <c r="LWZ7" s="71"/>
      <c r="LXA7" s="71"/>
      <c r="LXB7" s="71"/>
      <c r="LXC7" s="71"/>
      <c r="LXD7" s="71"/>
      <c r="LXE7" s="71"/>
      <c r="LXF7" s="71"/>
      <c r="LXG7" s="71"/>
      <c r="LXH7" s="71"/>
      <c r="LXI7" s="71"/>
      <c r="LXJ7" s="71"/>
      <c r="LXK7" s="71"/>
      <c r="LXL7" s="71"/>
      <c r="LXM7" s="71"/>
      <c r="LXN7" s="71"/>
      <c r="LXO7" s="71"/>
      <c r="LXP7" s="71"/>
      <c r="LXQ7" s="71"/>
      <c r="LXR7" s="71"/>
      <c r="LXS7" s="71"/>
      <c r="LXT7" s="71"/>
      <c r="LXU7" s="71"/>
      <c r="LXV7" s="71"/>
      <c r="LXW7" s="71"/>
      <c r="LXX7" s="71"/>
      <c r="LXY7" s="71"/>
      <c r="LXZ7" s="71"/>
      <c r="LYA7" s="71"/>
      <c r="LYB7" s="71"/>
      <c r="LYC7" s="71"/>
      <c r="LYD7" s="71"/>
      <c r="LYE7" s="71"/>
      <c r="LYF7" s="71"/>
      <c r="LYG7" s="71"/>
      <c r="LYH7" s="71"/>
      <c r="LYI7" s="71"/>
      <c r="LYJ7" s="71"/>
      <c r="LYK7" s="71"/>
      <c r="LYL7" s="71"/>
      <c r="LYM7" s="71"/>
      <c r="LYN7" s="71"/>
      <c r="LYO7" s="71"/>
      <c r="LYP7" s="71"/>
      <c r="LYQ7" s="71"/>
      <c r="LYR7" s="71"/>
      <c r="LYS7" s="71"/>
      <c r="LYT7" s="71"/>
      <c r="LYU7" s="71"/>
      <c r="LYV7" s="71"/>
      <c r="LYW7" s="71"/>
      <c r="LYX7" s="71"/>
      <c r="LYY7" s="71"/>
      <c r="LYZ7" s="71"/>
      <c r="LZA7" s="71"/>
      <c r="LZB7" s="71"/>
      <c r="LZC7" s="71"/>
      <c r="LZD7" s="71"/>
      <c r="LZE7" s="71"/>
      <c r="LZF7" s="71"/>
      <c r="LZG7" s="71"/>
      <c r="LZH7" s="71"/>
      <c r="LZI7" s="71"/>
      <c r="LZJ7" s="71"/>
      <c r="LZK7" s="71"/>
      <c r="LZL7" s="71"/>
      <c r="LZM7" s="71"/>
      <c r="LZN7" s="71"/>
      <c r="LZO7" s="71"/>
      <c r="LZP7" s="71"/>
      <c r="LZQ7" s="71"/>
      <c r="LZR7" s="71"/>
      <c r="LZS7" s="71"/>
      <c r="LZT7" s="71"/>
      <c r="LZU7" s="71"/>
      <c r="LZV7" s="71"/>
      <c r="LZW7" s="71"/>
      <c r="LZX7" s="71"/>
      <c r="LZY7" s="71"/>
      <c r="LZZ7" s="71"/>
      <c r="MAA7" s="71"/>
      <c r="MAB7" s="71"/>
      <c r="MAC7" s="71"/>
      <c r="MAD7" s="71"/>
      <c r="MAE7" s="71"/>
      <c r="MAF7" s="71"/>
      <c r="MAG7" s="71"/>
      <c r="MAH7" s="71"/>
      <c r="MAI7" s="71"/>
      <c r="MAJ7" s="71"/>
      <c r="MAK7" s="71"/>
      <c r="MAL7" s="71"/>
      <c r="MAM7" s="71"/>
      <c r="MAN7" s="71"/>
      <c r="MAO7" s="71"/>
      <c r="MAP7" s="71"/>
      <c r="MAQ7" s="71"/>
      <c r="MAR7" s="71"/>
      <c r="MAS7" s="71"/>
      <c r="MAT7" s="71"/>
      <c r="MAU7" s="71"/>
      <c r="MAV7" s="71"/>
      <c r="MAW7" s="71"/>
      <c r="MAX7" s="71"/>
      <c r="MAY7" s="71"/>
      <c r="MAZ7" s="71"/>
      <c r="MBA7" s="71"/>
      <c r="MBB7" s="71"/>
      <c r="MBC7" s="71"/>
      <c r="MBD7" s="71"/>
      <c r="MBE7" s="71"/>
      <c r="MBF7" s="71"/>
      <c r="MBG7" s="71"/>
      <c r="MBH7" s="71"/>
      <c r="MBI7" s="71"/>
      <c r="MBJ7" s="71"/>
      <c r="MBK7" s="71"/>
      <c r="MBL7" s="71"/>
      <c r="MBM7" s="71"/>
      <c r="MBN7" s="71"/>
      <c r="MBO7" s="71"/>
      <c r="MBP7" s="71"/>
      <c r="MBQ7" s="71"/>
      <c r="MBR7" s="71"/>
      <c r="MBS7" s="71"/>
      <c r="MBT7" s="71"/>
      <c r="MBU7" s="71"/>
      <c r="MBV7" s="71"/>
      <c r="MBW7" s="71"/>
      <c r="MBX7" s="71"/>
      <c r="MBY7" s="71"/>
      <c r="MBZ7" s="71"/>
      <c r="MCA7" s="71"/>
      <c r="MCB7" s="71"/>
      <c r="MCC7" s="71"/>
      <c r="MCD7" s="71"/>
      <c r="MCE7" s="71"/>
      <c r="MCF7" s="71"/>
      <c r="MCG7" s="71"/>
      <c r="MCH7" s="71"/>
      <c r="MCI7" s="71"/>
      <c r="MCJ7" s="71"/>
      <c r="MCK7" s="71"/>
      <c r="MCL7" s="71"/>
      <c r="MCM7" s="71"/>
      <c r="MCN7" s="71"/>
      <c r="MCO7" s="71"/>
      <c r="MCP7" s="71"/>
      <c r="MCQ7" s="71"/>
      <c r="MCR7" s="71"/>
      <c r="MCS7" s="71"/>
      <c r="MCT7" s="71"/>
      <c r="MCU7" s="71"/>
      <c r="MCV7" s="71"/>
      <c r="MCW7" s="71"/>
      <c r="MCX7" s="71"/>
      <c r="MCY7" s="71"/>
      <c r="MCZ7" s="71"/>
      <c r="MDA7" s="71"/>
      <c r="MDB7" s="71"/>
      <c r="MDC7" s="71"/>
      <c r="MDD7" s="71"/>
      <c r="MDE7" s="71"/>
      <c r="MDF7" s="71"/>
      <c r="MDG7" s="71"/>
      <c r="MDH7" s="71"/>
      <c r="MDI7" s="71"/>
      <c r="MDJ7" s="71"/>
      <c r="MDK7" s="71"/>
      <c r="MDL7" s="71"/>
      <c r="MDM7" s="71"/>
      <c r="MDN7" s="71"/>
      <c r="MDO7" s="71"/>
      <c r="MDP7" s="71"/>
      <c r="MDQ7" s="71"/>
      <c r="MDR7" s="71"/>
      <c r="MDS7" s="71"/>
      <c r="MDT7" s="71"/>
      <c r="MDU7" s="71"/>
      <c r="MDV7" s="71"/>
      <c r="MDW7" s="71"/>
      <c r="MDX7" s="71"/>
      <c r="MDY7" s="71"/>
      <c r="MDZ7" s="71"/>
      <c r="MEA7" s="71"/>
      <c r="MEB7" s="71"/>
      <c r="MEC7" s="71"/>
      <c r="MED7" s="71"/>
      <c r="MEE7" s="71"/>
      <c r="MEF7" s="71"/>
      <c r="MEG7" s="71"/>
      <c r="MEH7" s="71"/>
      <c r="MEI7" s="71"/>
      <c r="MEJ7" s="71"/>
      <c r="MEK7" s="71"/>
      <c r="MEL7" s="71"/>
      <c r="MEM7" s="71"/>
      <c r="MEN7" s="71"/>
      <c r="MEO7" s="71"/>
      <c r="MEP7" s="71"/>
      <c r="MEQ7" s="71"/>
      <c r="MER7" s="71"/>
      <c r="MES7" s="71"/>
      <c r="MET7" s="71"/>
      <c r="MEU7" s="71"/>
      <c r="MEV7" s="71"/>
      <c r="MEW7" s="71"/>
      <c r="MEX7" s="71"/>
      <c r="MEY7" s="71"/>
      <c r="MEZ7" s="71"/>
      <c r="MFA7" s="71"/>
      <c r="MFB7" s="71"/>
      <c r="MFC7" s="71"/>
      <c r="MFD7" s="71"/>
      <c r="MFE7" s="71"/>
      <c r="MFF7" s="71"/>
      <c r="MFG7" s="71"/>
      <c r="MFH7" s="71"/>
      <c r="MFI7" s="71"/>
      <c r="MFJ7" s="71"/>
      <c r="MFK7" s="71"/>
      <c r="MFL7" s="71"/>
      <c r="MFM7" s="71"/>
      <c r="MFN7" s="71"/>
      <c r="MFO7" s="71"/>
      <c r="MFP7" s="71"/>
      <c r="MFQ7" s="71"/>
      <c r="MFR7" s="71"/>
      <c r="MFS7" s="71"/>
      <c r="MFT7" s="71"/>
      <c r="MFU7" s="71"/>
      <c r="MFV7" s="71"/>
      <c r="MFW7" s="71"/>
      <c r="MFX7" s="71"/>
      <c r="MFY7" s="71"/>
      <c r="MFZ7" s="71"/>
      <c r="MGA7" s="71"/>
      <c r="MGB7" s="71"/>
      <c r="MGC7" s="71"/>
      <c r="MGD7" s="71"/>
      <c r="MGE7" s="71"/>
      <c r="MGF7" s="71"/>
      <c r="MGG7" s="71"/>
      <c r="MGH7" s="71"/>
      <c r="MGI7" s="71"/>
      <c r="MGJ7" s="71"/>
      <c r="MGK7" s="71"/>
      <c r="MGL7" s="71"/>
      <c r="MGM7" s="71"/>
      <c r="MGN7" s="71"/>
      <c r="MGO7" s="71"/>
      <c r="MGP7" s="71"/>
      <c r="MGQ7" s="71"/>
      <c r="MGR7" s="71"/>
      <c r="MGS7" s="71"/>
      <c r="MGT7" s="71"/>
      <c r="MGU7" s="71"/>
      <c r="MGV7" s="71"/>
      <c r="MGW7" s="71"/>
      <c r="MGX7" s="71"/>
      <c r="MGY7" s="71"/>
      <c r="MGZ7" s="71"/>
      <c r="MHA7" s="71"/>
      <c r="MHB7" s="71"/>
      <c r="MHC7" s="71"/>
      <c r="MHD7" s="71"/>
      <c r="MHE7" s="71"/>
      <c r="MHF7" s="71"/>
      <c r="MHG7" s="71"/>
      <c r="MHH7" s="71"/>
      <c r="MHI7" s="71"/>
      <c r="MHJ7" s="71"/>
      <c r="MHK7" s="71"/>
      <c r="MHL7" s="71"/>
      <c r="MHM7" s="71"/>
      <c r="MHN7" s="71"/>
      <c r="MHO7" s="71"/>
      <c r="MHP7" s="71"/>
      <c r="MHQ7" s="71"/>
      <c r="MHR7" s="71"/>
      <c r="MHS7" s="71"/>
      <c r="MHT7" s="71"/>
      <c r="MHU7" s="71"/>
      <c r="MHV7" s="71"/>
      <c r="MHW7" s="71"/>
      <c r="MHX7" s="71"/>
      <c r="MHY7" s="71"/>
      <c r="MHZ7" s="71"/>
      <c r="MIA7" s="71"/>
      <c r="MIB7" s="71"/>
      <c r="MIC7" s="71"/>
      <c r="MID7" s="71"/>
      <c r="MIE7" s="71"/>
      <c r="MIF7" s="71"/>
      <c r="MIG7" s="71"/>
      <c r="MIH7" s="71"/>
      <c r="MII7" s="71"/>
      <c r="MIJ7" s="71"/>
      <c r="MIK7" s="71"/>
      <c r="MIL7" s="71"/>
      <c r="MIM7" s="71"/>
      <c r="MIN7" s="71"/>
      <c r="MIO7" s="71"/>
      <c r="MIP7" s="71"/>
      <c r="MIQ7" s="71"/>
      <c r="MIR7" s="71"/>
      <c r="MIS7" s="71"/>
      <c r="MIT7" s="71"/>
      <c r="MIU7" s="71"/>
      <c r="MIV7" s="71"/>
      <c r="MIW7" s="71"/>
      <c r="MIX7" s="71"/>
      <c r="MIY7" s="71"/>
      <c r="MIZ7" s="71"/>
      <c r="MJA7" s="71"/>
      <c r="MJB7" s="71"/>
      <c r="MJC7" s="71"/>
      <c r="MJD7" s="71"/>
      <c r="MJE7" s="71"/>
      <c r="MJF7" s="71"/>
      <c r="MJG7" s="71"/>
      <c r="MJH7" s="71"/>
      <c r="MJI7" s="71"/>
      <c r="MJJ7" s="71"/>
      <c r="MJK7" s="71"/>
      <c r="MJL7" s="71"/>
      <c r="MJM7" s="71"/>
      <c r="MJN7" s="71"/>
      <c r="MJO7" s="71"/>
      <c r="MJP7" s="71"/>
      <c r="MJQ7" s="71"/>
      <c r="MJR7" s="71"/>
      <c r="MJS7" s="71"/>
      <c r="MJT7" s="71"/>
      <c r="MJU7" s="71"/>
      <c r="MJV7" s="71"/>
      <c r="MJW7" s="71"/>
      <c r="MJX7" s="71"/>
      <c r="MJY7" s="71"/>
      <c r="MJZ7" s="71"/>
      <c r="MKA7" s="71"/>
      <c r="MKB7" s="71"/>
      <c r="MKC7" s="71"/>
      <c r="MKD7" s="71"/>
      <c r="MKE7" s="71"/>
      <c r="MKF7" s="71"/>
      <c r="MKG7" s="71"/>
      <c r="MKH7" s="71"/>
      <c r="MKI7" s="71"/>
      <c r="MKJ7" s="71"/>
      <c r="MKK7" s="71"/>
      <c r="MKL7" s="71"/>
      <c r="MKM7" s="71"/>
      <c r="MKN7" s="71"/>
      <c r="MKO7" s="71"/>
      <c r="MKP7" s="71"/>
      <c r="MKQ7" s="71"/>
      <c r="MKR7" s="71"/>
      <c r="MKS7" s="71"/>
      <c r="MKT7" s="71"/>
      <c r="MKU7" s="71"/>
      <c r="MKV7" s="71"/>
      <c r="MKW7" s="71"/>
      <c r="MKX7" s="71"/>
      <c r="MKY7" s="71"/>
      <c r="MKZ7" s="71"/>
      <c r="MLA7" s="71"/>
      <c r="MLB7" s="71"/>
      <c r="MLC7" s="71"/>
      <c r="MLD7" s="71"/>
      <c r="MLE7" s="71"/>
      <c r="MLF7" s="71"/>
      <c r="MLG7" s="71"/>
      <c r="MLH7" s="71"/>
      <c r="MLI7" s="71"/>
      <c r="MLJ7" s="71"/>
      <c r="MLK7" s="71"/>
      <c r="MLL7" s="71"/>
      <c r="MLM7" s="71"/>
      <c r="MLN7" s="71"/>
      <c r="MLO7" s="71"/>
      <c r="MLP7" s="71"/>
      <c r="MLQ7" s="71"/>
      <c r="MLR7" s="71"/>
      <c r="MLS7" s="71"/>
      <c r="MLT7" s="71"/>
      <c r="MLU7" s="71"/>
      <c r="MLV7" s="71"/>
      <c r="MLW7" s="71"/>
      <c r="MLX7" s="71"/>
      <c r="MLY7" s="71"/>
      <c r="MLZ7" s="71"/>
      <c r="MMA7" s="71"/>
      <c r="MMB7" s="71"/>
      <c r="MMC7" s="71"/>
      <c r="MMD7" s="71"/>
      <c r="MME7" s="71"/>
      <c r="MMF7" s="71"/>
      <c r="MMG7" s="71"/>
      <c r="MMH7" s="71"/>
      <c r="MMI7" s="71"/>
      <c r="MMJ7" s="71"/>
      <c r="MMK7" s="71"/>
      <c r="MML7" s="71"/>
      <c r="MMM7" s="71"/>
      <c r="MMN7" s="71"/>
      <c r="MMO7" s="71"/>
      <c r="MMP7" s="71"/>
      <c r="MMQ7" s="71"/>
      <c r="MMR7" s="71"/>
      <c r="MMS7" s="71"/>
      <c r="MMT7" s="71"/>
      <c r="MMU7" s="71"/>
      <c r="MMV7" s="71"/>
      <c r="MMW7" s="71"/>
      <c r="MMX7" s="71"/>
      <c r="MMY7" s="71"/>
      <c r="MMZ7" s="71"/>
      <c r="MNA7" s="71"/>
      <c r="MNB7" s="71"/>
      <c r="MNC7" s="71"/>
      <c r="MND7" s="71"/>
      <c r="MNE7" s="71"/>
      <c r="MNF7" s="71"/>
      <c r="MNG7" s="71"/>
      <c r="MNH7" s="71"/>
      <c r="MNI7" s="71"/>
      <c r="MNJ7" s="71"/>
      <c r="MNK7" s="71"/>
      <c r="MNL7" s="71"/>
      <c r="MNM7" s="71"/>
      <c r="MNN7" s="71"/>
      <c r="MNO7" s="71"/>
      <c r="MNP7" s="71"/>
      <c r="MNQ7" s="71"/>
      <c r="MNR7" s="71"/>
      <c r="MNS7" s="71"/>
      <c r="MNT7" s="71"/>
      <c r="MNU7" s="71"/>
      <c r="MNV7" s="71"/>
      <c r="MNW7" s="71"/>
      <c r="MNX7" s="71"/>
      <c r="MNY7" s="71"/>
      <c r="MNZ7" s="71"/>
      <c r="MOA7" s="71"/>
      <c r="MOB7" s="71"/>
      <c r="MOC7" s="71"/>
      <c r="MOD7" s="71"/>
      <c r="MOE7" s="71"/>
      <c r="MOF7" s="71"/>
      <c r="MOG7" s="71"/>
      <c r="MOH7" s="71"/>
      <c r="MOI7" s="71"/>
      <c r="MOJ7" s="71"/>
      <c r="MOK7" s="71"/>
      <c r="MOL7" s="71"/>
      <c r="MOM7" s="71"/>
      <c r="MON7" s="71"/>
      <c r="MOO7" s="71"/>
      <c r="MOP7" s="71"/>
      <c r="MOQ7" s="71"/>
      <c r="MOR7" s="71"/>
      <c r="MOS7" s="71"/>
      <c r="MOT7" s="71"/>
      <c r="MOU7" s="71"/>
      <c r="MOV7" s="71"/>
      <c r="MOW7" s="71"/>
      <c r="MOX7" s="71"/>
      <c r="MOY7" s="71"/>
      <c r="MOZ7" s="71"/>
      <c r="MPA7" s="71"/>
      <c r="MPB7" s="71"/>
      <c r="MPC7" s="71"/>
      <c r="MPD7" s="71"/>
      <c r="MPE7" s="71"/>
      <c r="MPF7" s="71"/>
      <c r="MPG7" s="71"/>
      <c r="MPH7" s="71"/>
      <c r="MPI7" s="71"/>
      <c r="MPJ7" s="71"/>
      <c r="MPK7" s="71"/>
      <c r="MPL7" s="71"/>
      <c r="MPM7" s="71"/>
      <c r="MPN7" s="71"/>
      <c r="MPO7" s="71"/>
      <c r="MPP7" s="71"/>
      <c r="MPQ7" s="71"/>
      <c r="MPR7" s="71"/>
      <c r="MPS7" s="71"/>
      <c r="MPT7" s="71"/>
      <c r="MPU7" s="71"/>
      <c r="MPV7" s="71"/>
      <c r="MPW7" s="71"/>
      <c r="MPX7" s="71"/>
      <c r="MPY7" s="71"/>
      <c r="MPZ7" s="71"/>
      <c r="MQA7" s="71"/>
      <c r="MQB7" s="71"/>
      <c r="MQC7" s="71"/>
      <c r="MQD7" s="71"/>
      <c r="MQE7" s="71"/>
      <c r="MQF7" s="71"/>
      <c r="MQG7" s="71"/>
      <c r="MQH7" s="71"/>
      <c r="MQI7" s="71"/>
      <c r="MQJ7" s="71"/>
      <c r="MQK7" s="71"/>
      <c r="MQL7" s="71"/>
      <c r="MQM7" s="71"/>
      <c r="MQN7" s="71"/>
      <c r="MQO7" s="71"/>
      <c r="MQP7" s="71"/>
      <c r="MQQ7" s="71"/>
      <c r="MQR7" s="71"/>
      <c r="MQS7" s="71"/>
      <c r="MQT7" s="71"/>
      <c r="MQU7" s="71"/>
      <c r="MQV7" s="71"/>
      <c r="MQW7" s="71"/>
      <c r="MQX7" s="71"/>
      <c r="MQY7" s="71"/>
      <c r="MQZ7" s="71"/>
      <c r="MRA7" s="71"/>
      <c r="MRB7" s="71"/>
      <c r="MRC7" s="71"/>
      <c r="MRD7" s="71"/>
      <c r="MRE7" s="71"/>
      <c r="MRF7" s="71"/>
      <c r="MRG7" s="71"/>
      <c r="MRH7" s="71"/>
      <c r="MRI7" s="71"/>
      <c r="MRJ7" s="71"/>
      <c r="MRK7" s="71"/>
      <c r="MRL7" s="71"/>
      <c r="MRM7" s="71"/>
      <c r="MRN7" s="71"/>
      <c r="MRO7" s="71"/>
      <c r="MRP7" s="71"/>
      <c r="MRQ7" s="71"/>
      <c r="MRR7" s="71"/>
      <c r="MRS7" s="71"/>
      <c r="MRT7" s="71"/>
      <c r="MRU7" s="71"/>
      <c r="MRV7" s="71"/>
      <c r="MRW7" s="71"/>
      <c r="MRX7" s="71"/>
      <c r="MRY7" s="71"/>
      <c r="MRZ7" s="71"/>
      <c r="MSA7" s="71"/>
      <c r="MSB7" s="71"/>
      <c r="MSC7" s="71"/>
      <c r="MSD7" s="71"/>
      <c r="MSE7" s="71"/>
      <c r="MSF7" s="71"/>
      <c r="MSG7" s="71"/>
      <c r="MSH7" s="71"/>
      <c r="MSI7" s="71"/>
      <c r="MSJ7" s="71"/>
      <c r="MSK7" s="71"/>
      <c r="MSL7" s="71"/>
      <c r="MSM7" s="71"/>
      <c r="MSN7" s="71"/>
      <c r="MSO7" s="71"/>
      <c r="MSP7" s="71"/>
      <c r="MSQ7" s="71"/>
      <c r="MSR7" s="71"/>
      <c r="MSS7" s="71"/>
      <c r="MST7" s="71"/>
      <c r="MSU7" s="71"/>
      <c r="MSV7" s="71"/>
      <c r="MSW7" s="71"/>
      <c r="MSX7" s="71"/>
      <c r="MSY7" s="71"/>
      <c r="MSZ7" s="71"/>
      <c r="MTA7" s="71"/>
      <c r="MTB7" s="71"/>
      <c r="MTC7" s="71"/>
      <c r="MTD7" s="71"/>
      <c r="MTE7" s="71"/>
      <c r="MTF7" s="71"/>
      <c r="MTG7" s="71"/>
      <c r="MTH7" s="71"/>
      <c r="MTI7" s="71"/>
      <c r="MTJ7" s="71"/>
      <c r="MTK7" s="71"/>
      <c r="MTL7" s="71"/>
      <c r="MTM7" s="71"/>
      <c r="MTN7" s="71"/>
      <c r="MTO7" s="71"/>
      <c r="MTP7" s="71"/>
      <c r="MTQ7" s="71"/>
      <c r="MTR7" s="71"/>
      <c r="MTS7" s="71"/>
      <c r="MTT7" s="71"/>
      <c r="MTU7" s="71"/>
      <c r="MTV7" s="71"/>
      <c r="MTW7" s="71"/>
      <c r="MTX7" s="71"/>
      <c r="MTY7" s="71"/>
      <c r="MTZ7" s="71"/>
      <c r="MUA7" s="71"/>
      <c r="MUB7" s="71"/>
      <c r="MUC7" s="71"/>
      <c r="MUD7" s="71"/>
      <c r="MUE7" s="71"/>
      <c r="MUF7" s="71"/>
      <c r="MUG7" s="71"/>
      <c r="MUH7" s="71"/>
      <c r="MUI7" s="71"/>
      <c r="MUJ7" s="71"/>
      <c r="MUK7" s="71"/>
      <c r="MUL7" s="71"/>
      <c r="MUM7" s="71"/>
      <c r="MUN7" s="71"/>
      <c r="MUO7" s="71"/>
      <c r="MUP7" s="71"/>
      <c r="MUQ7" s="71"/>
      <c r="MUR7" s="71"/>
      <c r="MUS7" s="71"/>
      <c r="MUT7" s="71"/>
      <c r="MUU7" s="71"/>
      <c r="MUV7" s="71"/>
      <c r="MUW7" s="71"/>
      <c r="MUX7" s="71"/>
      <c r="MUY7" s="71"/>
      <c r="MUZ7" s="71"/>
      <c r="MVA7" s="71"/>
      <c r="MVB7" s="71"/>
      <c r="MVC7" s="71"/>
      <c r="MVD7" s="71"/>
      <c r="MVE7" s="71"/>
      <c r="MVF7" s="71"/>
      <c r="MVG7" s="71"/>
      <c r="MVH7" s="71"/>
      <c r="MVI7" s="71"/>
      <c r="MVJ7" s="71"/>
      <c r="MVK7" s="71"/>
      <c r="MVL7" s="71"/>
      <c r="MVM7" s="71"/>
      <c r="MVN7" s="71"/>
      <c r="MVO7" s="71"/>
      <c r="MVP7" s="71"/>
      <c r="MVQ7" s="71"/>
      <c r="MVR7" s="71"/>
      <c r="MVS7" s="71"/>
      <c r="MVT7" s="71"/>
      <c r="MVU7" s="71"/>
      <c r="MVV7" s="71"/>
      <c r="MVW7" s="71"/>
      <c r="MVX7" s="71"/>
      <c r="MVY7" s="71"/>
      <c r="MVZ7" s="71"/>
      <c r="MWA7" s="71"/>
      <c r="MWB7" s="71"/>
      <c r="MWC7" s="71"/>
      <c r="MWD7" s="71"/>
      <c r="MWE7" s="71"/>
      <c r="MWF7" s="71"/>
      <c r="MWG7" s="71"/>
      <c r="MWH7" s="71"/>
      <c r="MWI7" s="71"/>
      <c r="MWJ7" s="71"/>
      <c r="MWK7" s="71"/>
      <c r="MWL7" s="71"/>
      <c r="MWM7" s="71"/>
      <c r="MWN7" s="71"/>
      <c r="MWO7" s="71"/>
      <c r="MWP7" s="71"/>
      <c r="MWQ7" s="71"/>
      <c r="MWR7" s="71"/>
      <c r="MWS7" s="71"/>
      <c r="MWT7" s="71"/>
      <c r="MWU7" s="71"/>
      <c r="MWV7" s="71"/>
      <c r="MWW7" s="71"/>
      <c r="MWX7" s="71"/>
      <c r="MWY7" s="71"/>
      <c r="MWZ7" s="71"/>
      <c r="MXA7" s="71"/>
      <c r="MXB7" s="71"/>
      <c r="MXC7" s="71"/>
      <c r="MXD7" s="71"/>
      <c r="MXE7" s="71"/>
      <c r="MXF7" s="71"/>
      <c r="MXG7" s="71"/>
      <c r="MXH7" s="71"/>
      <c r="MXI7" s="71"/>
      <c r="MXJ7" s="71"/>
      <c r="MXK7" s="71"/>
      <c r="MXL7" s="71"/>
      <c r="MXM7" s="71"/>
      <c r="MXN7" s="71"/>
      <c r="MXO7" s="71"/>
      <c r="MXP7" s="71"/>
      <c r="MXQ7" s="71"/>
      <c r="MXR7" s="71"/>
      <c r="MXS7" s="71"/>
      <c r="MXT7" s="71"/>
      <c r="MXU7" s="71"/>
      <c r="MXV7" s="71"/>
      <c r="MXW7" s="71"/>
      <c r="MXX7" s="71"/>
      <c r="MXY7" s="71"/>
      <c r="MXZ7" s="71"/>
      <c r="MYA7" s="71"/>
      <c r="MYB7" s="71"/>
      <c r="MYC7" s="71"/>
      <c r="MYD7" s="71"/>
      <c r="MYE7" s="71"/>
      <c r="MYF7" s="71"/>
      <c r="MYG7" s="71"/>
      <c r="MYH7" s="71"/>
      <c r="MYI7" s="71"/>
      <c r="MYJ7" s="71"/>
      <c r="MYK7" s="71"/>
      <c r="MYL7" s="71"/>
      <c r="MYM7" s="71"/>
      <c r="MYN7" s="71"/>
      <c r="MYO7" s="71"/>
      <c r="MYP7" s="71"/>
      <c r="MYQ7" s="71"/>
      <c r="MYR7" s="71"/>
      <c r="MYS7" s="71"/>
      <c r="MYT7" s="71"/>
      <c r="MYU7" s="71"/>
      <c r="MYV7" s="71"/>
      <c r="MYW7" s="71"/>
      <c r="MYX7" s="71"/>
      <c r="MYY7" s="71"/>
      <c r="MYZ7" s="71"/>
      <c r="MZA7" s="71"/>
      <c r="MZB7" s="71"/>
      <c r="MZC7" s="71"/>
      <c r="MZD7" s="71"/>
      <c r="MZE7" s="71"/>
      <c r="MZF7" s="71"/>
      <c r="MZG7" s="71"/>
      <c r="MZH7" s="71"/>
      <c r="MZI7" s="71"/>
      <c r="MZJ7" s="71"/>
      <c r="MZK7" s="71"/>
      <c r="MZL7" s="71"/>
      <c r="MZM7" s="71"/>
      <c r="MZN7" s="71"/>
      <c r="MZO7" s="71"/>
      <c r="MZP7" s="71"/>
      <c r="MZQ7" s="71"/>
      <c r="MZR7" s="71"/>
      <c r="MZS7" s="71"/>
      <c r="MZT7" s="71"/>
      <c r="MZU7" s="71"/>
      <c r="MZV7" s="71"/>
      <c r="MZW7" s="71"/>
      <c r="MZX7" s="71"/>
      <c r="MZY7" s="71"/>
      <c r="MZZ7" s="71"/>
      <c r="NAA7" s="71"/>
      <c r="NAB7" s="71"/>
      <c r="NAC7" s="71"/>
      <c r="NAD7" s="71"/>
      <c r="NAE7" s="71"/>
      <c r="NAF7" s="71"/>
      <c r="NAG7" s="71"/>
      <c r="NAH7" s="71"/>
      <c r="NAI7" s="71"/>
      <c r="NAJ7" s="71"/>
      <c r="NAK7" s="71"/>
      <c r="NAL7" s="71"/>
      <c r="NAM7" s="71"/>
      <c r="NAN7" s="71"/>
      <c r="NAO7" s="71"/>
      <c r="NAP7" s="71"/>
      <c r="NAQ7" s="71"/>
      <c r="NAR7" s="71"/>
      <c r="NAS7" s="71"/>
      <c r="NAT7" s="71"/>
      <c r="NAU7" s="71"/>
      <c r="NAV7" s="71"/>
      <c r="NAW7" s="71"/>
      <c r="NAX7" s="71"/>
      <c r="NAY7" s="71"/>
      <c r="NAZ7" s="71"/>
      <c r="NBA7" s="71"/>
      <c r="NBB7" s="71"/>
      <c r="NBC7" s="71"/>
      <c r="NBD7" s="71"/>
      <c r="NBE7" s="71"/>
      <c r="NBF7" s="71"/>
      <c r="NBG7" s="71"/>
      <c r="NBH7" s="71"/>
      <c r="NBI7" s="71"/>
      <c r="NBJ7" s="71"/>
      <c r="NBK7" s="71"/>
      <c r="NBL7" s="71"/>
      <c r="NBM7" s="71"/>
      <c r="NBN7" s="71"/>
      <c r="NBO7" s="71"/>
      <c r="NBP7" s="71"/>
      <c r="NBQ7" s="71"/>
      <c r="NBR7" s="71"/>
      <c r="NBS7" s="71"/>
      <c r="NBT7" s="71"/>
      <c r="NBU7" s="71"/>
      <c r="NBV7" s="71"/>
      <c r="NBW7" s="71"/>
      <c r="NBX7" s="71"/>
      <c r="NBY7" s="71"/>
      <c r="NBZ7" s="71"/>
      <c r="NCA7" s="71"/>
      <c r="NCB7" s="71"/>
      <c r="NCC7" s="71"/>
      <c r="NCD7" s="71"/>
      <c r="NCE7" s="71"/>
      <c r="NCF7" s="71"/>
      <c r="NCG7" s="71"/>
      <c r="NCH7" s="71"/>
      <c r="NCI7" s="71"/>
      <c r="NCJ7" s="71"/>
      <c r="NCK7" s="71"/>
      <c r="NCL7" s="71"/>
      <c r="NCM7" s="71"/>
      <c r="NCN7" s="71"/>
      <c r="NCO7" s="71"/>
      <c r="NCP7" s="71"/>
      <c r="NCQ7" s="71"/>
      <c r="NCR7" s="71"/>
      <c r="NCS7" s="71"/>
      <c r="NCT7" s="71"/>
      <c r="NCU7" s="71"/>
      <c r="NCV7" s="71"/>
      <c r="NCW7" s="71"/>
      <c r="NCX7" s="71"/>
      <c r="NCY7" s="71"/>
      <c r="NCZ7" s="71"/>
      <c r="NDA7" s="71"/>
      <c r="NDB7" s="71"/>
      <c r="NDC7" s="71"/>
      <c r="NDD7" s="71"/>
      <c r="NDE7" s="71"/>
      <c r="NDF7" s="71"/>
      <c r="NDG7" s="71"/>
      <c r="NDH7" s="71"/>
      <c r="NDI7" s="71"/>
      <c r="NDJ7" s="71"/>
      <c r="NDK7" s="71"/>
      <c r="NDL7" s="71"/>
      <c r="NDM7" s="71"/>
      <c r="NDN7" s="71"/>
      <c r="NDO7" s="71"/>
      <c r="NDP7" s="71"/>
      <c r="NDQ7" s="71"/>
      <c r="NDR7" s="71"/>
      <c r="NDS7" s="71"/>
      <c r="NDT7" s="71"/>
      <c r="NDU7" s="71"/>
      <c r="NDV7" s="71"/>
      <c r="NDW7" s="71"/>
      <c r="NDX7" s="71"/>
      <c r="NDY7" s="71"/>
      <c r="NDZ7" s="71"/>
      <c r="NEA7" s="71"/>
      <c r="NEB7" s="71"/>
      <c r="NEC7" s="71"/>
      <c r="NED7" s="71"/>
      <c r="NEE7" s="71"/>
      <c r="NEF7" s="71"/>
      <c r="NEG7" s="71"/>
      <c r="NEH7" s="71"/>
      <c r="NEI7" s="71"/>
      <c r="NEJ7" s="71"/>
      <c r="NEK7" s="71"/>
      <c r="NEL7" s="71"/>
      <c r="NEM7" s="71"/>
      <c r="NEN7" s="71"/>
      <c r="NEO7" s="71"/>
      <c r="NEP7" s="71"/>
      <c r="NEQ7" s="71"/>
      <c r="NER7" s="71"/>
      <c r="NES7" s="71"/>
      <c r="NET7" s="71"/>
      <c r="NEU7" s="71"/>
      <c r="NEV7" s="71"/>
      <c r="NEW7" s="71"/>
      <c r="NEX7" s="71"/>
      <c r="NEY7" s="71"/>
      <c r="NEZ7" s="71"/>
      <c r="NFA7" s="71"/>
      <c r="NFB7" s="71"/>
      <c r="NFC7" s="71"/>
      <c r="NFD7" s="71"/>
      <c r="NFE7" s="71"/>
      <c r="NFF7" s="71"/>
      <c r="NFG7" s="71"/>
      <c r="NFH7" s="71"/>
      <c r="NFI7" s="71"/>
      <c r="NFJ7" s="71"/>
      <c r="NFK7" s="71"/>
      <c r="NFL7" s="71"/>
      <c r="NFM7" s="71"/>
      <c r="NFN7" s="71"/>
      <c r="NFO7" s="71"/>
      <c r="NFP7" s="71"/>
      <c r="NFQ7" s="71"/>
      <c r="NFR7" s="71"/>
      <c r="NFS7" s="71"/>
      <c r="NFT7" s="71"/>
      <c r="NFU7" s="71"/>
      <c r="NFV7" s="71"/>
      <c r="NFW7" s="71"/>
      <c r="NFX7" s="71"/>
      <c r="NFY7" s="71"/>
      <c r="NFZ7" s="71"/>
      <c r="NGA7" s="71"/>
      <c r="NGB7" s="71"/>
      <c r="NGC7" s="71"/>
      <c r="NGD7" s="71"/>
      <c r="NGE7" s="71"/>
      <c r="NGF7" s="71"/>
      <c r="NGG7" s="71"/>
      <c r="NGH7" s="71"/>
      <c r="NGI7" s="71"/>
      <c r="NGJ7" s="71"/>
      <c r="NGK7" s="71"/>
      <c r="NGL7" s="71"/>
      <c r="NGM7" s="71"/>
      <c r="NGN7" s="71"/>
      <c r="NGO7" s="71"/>
      <c r="NGP7" s="71"/>
      <c r="NGQ7" s="71"/>
      <c r="NGR7" s="71"/>
      <c r="NGS7" s="71"/>
      <c r="NGT7" s="71"/>
      <c r="NGU7" s="71"/>
      <c r="NGV7" s="71"/>
      <c r="NGW7" s="71"/>
      <c r="NGX7" s="71"/>
      <c r="NGY7" s="71"/>
      <c r="NGZ7" s="71"/>
      <c r="NHA7" s="71"/>
      <c r="NHB7" s="71"/>
      <c r="NHC7" s="71"/>
      <c r="NHD7" s="71"/>
      <c r="NHE7" s="71"/>
      <c r="NHF7" s="71"/>
      <c r="NHG7" s="71"/>
      <c r="NHH7" s="71"/>
      <c r="NHI7" s="71"/>
      <c r="NHJ7" s="71"/>
      <c r="NHK7" s="71"/>
      <c r="NHL7" s="71"/>
      <c r="NHM7" s="71"/>
      <c r="NHN7" s="71"/>
      <c r="NHO7" s="71"/>
      <c r="NHP7" s="71"/>
      <c r="NHQ7" s="71"/>
      <c r="NHR7" s="71"/>
      <c r="NHS7" s="71"/>
      <c r="NHT7" s="71"/>
      <c r="NHU7" s="71"/>
      <c r="NHV7" s="71"/>
      <c r="NHW7" s="71"/>
      <c r="NHX7" s="71"/>
      <c r="NHY7" s="71"/>
      <c r="NHZ7" s="71"/>
      <c r="NIA7" s="71"/>
      <c r="NIB7" s="71"/>
      <c r="NIC7" s="71"/>
      <c r="NID7" s="71"/>
      <c r="NIE7" s="71"/>
      <c r="NIF7" s="71"/>
      <c r="NIG7" s="71"/>
      <c r="NIH7" s="71"/>
      <c r="NII7" s="71"/>
      <c r="NIJ7" s="71"/>
      <c r="NIK7" s="71"/>
      <c r="NIL7" s="71"/>
      <c r="NIM7" s="71"/>
      <c r="NIN7" s="71"/>
      <c r="NIO7" s="71"/>
      <c r="NIP7" s="71"/>
      <c r="NIQ7" s="71"/>
      <c r="NIR7" s="71"/>
      <c r="NIS7" s="71"/>
      <c r="NIT7" s="71"/>
      <c r="NIU7" s="71"/>
      <c r="NIV7" s="71"/>
      <c r="NIW7" s="71"/>
      <c r="NIX7" s="71"/>
      <c r="NIY7" s="71"/>
      <c r="NIZ7" s="71"/>
      <c r="NJA7" s="71"/>
      <c r="NJB7" s="71"/>
      <c r="NJC7" s="71"/>
      <c r="NJD7" s="71"/>
      <c r="NJE7" s="71"/>
      <c r="NJF7" s="71"/>
      <c r="NJG7" s="71"/>
      <c r="NJH7" s="71"/>
      <c r="NJI7" s="71"/>
      <c r="NJJ7" s="71"/>
      <c r="NJK7" s="71"/>
      <c r="NJL7" s="71"/>
      <c r="NJM7" s="71"/>
      <c r="NJN7" s="71"/>
      <c r="NJO7" s="71"/>
      <c r="NJP7" s="71"/>
      <c r="NJQ7" s="71"/>
      <c r="NJR7" s="71"/>
      <c r="NJS7" s="71"/>
      <c r="NJT7" s="71"/>
      <c r="NJU7" s="71"/>
      <c r="NJV7" s="71"/>
      <c r="NJW7" s="71"/>
      <c r="NJX7" s="71"/>
      <c r="NJY7" s="71"/>
      <c r="NJZ7" s="71"/>
      <c r="NKA7" s="71"/>
      <c r="NKB7" s="71"/>
      <c r="NKC7" s="71"/>
      <c r="NKD7" s="71"/>
      <c r="NKE7" s="71"/>
      <c r="NKF7" s="71"/>
      <c r="NKG7" s="71"/>
      <c r="NKH7" s="71"/>
      <c r="NKI7" s="71"/>
      <c r="NKJ7" s="71"/>
      <c r="NKK7" s="71"/>
      <c r="NKL7" s="71"/>
      <c r="NKM7" s="71"/>
      <c r="NKN7" s="71"/>
      <c r="NKO7" s="71"/>
      <c r="NKP7" s="71"/>
      <c r="NKQ7" s="71"/>
      <c r="NKR7" s="71"/>
      <c r="NKS7" s="71"/>
      <c r="NKT7" s="71"/>
      <c r="NKU7" s="71"/>
      <c r="NKV7" s="71"/>
      <c r="NKW7" s="71"/>
      <c r="NKX7" s="71"/>
      <c r="NKY7" s="71"/>
      <c r="NKZ7" s="71"/>
      <c r="NLA7" s="71"/>
      <c r="NLB7" s="71"/>
      <c r="NLC7" s="71"/>
      <c r="NLD7" s="71"/>
      <c r="NLE7" s="71"/>
      <c r="NLF7" s="71"/>
      <c r="NLG7" s="71"/>
      <c r="NLH7" s="71"/>
      <c r="NLI7" s="71"/>
      <c r="NLJ7" s="71"/>
      <c r="NLK7" s="71"/>
      <c r="NLL7" s="71"/>
      <c r="NLM7" s="71"/>
      <c r="NLN7" s="71"/>
      <c r="NLO7" s="71"/>
      <c r="NLP7" s="71"/>
      <c r="NLQ7" s="71"/>
      <c r="NLR7" s="71"/>
      <c r="NLS7" s="71"/>
      <c r="NLT7" s="71"/>
      <c r="NLU7" s="71"/>
      <c r="NLV7" s="71"/>
      <c r="NLW7" s="71"/>
      <c r="NLX7" s="71"/>
      <c r="NLY7" s="71"/>
      <c r="NLZ7" s="71"/>
      <c r="NMA7" s="71"/>
      <c r="NMB7" s="71"/>
      <c r="NMC7" s="71"/>
      <c r="NMD7" s="71"/>
      <c r="NME7" s="71"/>
      <c r="NMF7" s="71"/>
      <c r="NMG7" s="71"/>
      <c r="NMH7" s="71"/>
      <c r="NMI7" s="71"/>
      <c r="NMJ7" s="71"/>
      <c r="NMK7" s="71"/>
      <c r="NML7" s="71"/>
      <c r="NMM7" s="71"/>
      <c r="NMN7" s="71"/>
      <c r="NMO7" s="71"/>
      <c r="NMP7" s="71"/>
      <c r="NMQ7" s="71"/>
      <c r="NMR7" s="71"/>
      <c r="NMS7" s="71"/>
      <c r="NMT7" s="71"/>
      <c r="NMU7" s="71"/>
      <c r="NMV7" s="71"/>
      <c r="NMW7" s="71"/>
      <c r="NMX7" s="71"/>
      <c r="NMY7" s="71"/>
      <c r="NMZ7" s="71"/>
      <c r="NNA7" s="71"/>
      <c r="NNB7" s="71"/>
      <c r="NNC7" s="71"/>
      <c r="NND7" s="71"/>
      <c r="NNE7" s="71"/>
      <c r="NNF7" s="71"/>
      <c r="NNG7" s="71"/>
      <c r="NNH7" s="71"/>
      <c r="NNI7" s="71"/>
      <c r="NNJ7" s="71"/>
      <c r="NNK7" s="71"/>
      <c r="NNL7" s="71"/>
      <c r="NNM7" s="71"/>
      <c r="NNN7" s="71"/>
      <c r="NNO7" s="71"/>
      <c r="NNP7" s="71"/>
      <c r="NNQ7" s="71"/>
      <c r="NNR7" s="71"/>
      <c r="NNS7" s="71"/>
      <c r="NNT7" s="71"/>
      <c r="NNU7" s="71"/>
      <c r="NNV7" s="71"/>
      <c r="NNW7" s="71"/>
      <c r="NNX7" s="71"/>
      <c r="NNY7" s="71"/>
      <c r="NNZ7" s="71"/>
      <c r="NOA7" s="71"/>
      <c r="NOB7" s="71"/>
      <c r="NOC7" s="71"/>
      <c r="NOD7" s="71"/>
      <c r="NOE7" s="71"/>
      <c r="NOF7" s="71"/>
      <c r="NOG7" s="71"/>
      <c r="NOH7" s="71"/>
      <c r="NOI7" s="71"/>
      <c r="NOJ7" s="71"/>
      <c r="NOK7" s="71"/>
      <c r="NOL7" s="71"/>
      <c r="NOM7" s="71"/>
      <c r="NON7" s="71"/>
      <c r="NOO7" s="71"/>
      <c r="NOP7" s="71"/>
      <c r="NOQ7" s="71"/>
      <c r="NOR7" s="71"/>
      <c r="NOS7" s="71"/>
      <c r="NOT7" s="71"/>
      <c r="NOU7" s="71"/>
      <c r="NOV7" s="71"/>
      <c r="NOW7" s="71"/>
      <c r="NOX7" s="71"/>
      <c r="NOY7" s="71"/>
      <c r="NOZ7" s="71"/>
      <c r="NPA7" s="71"/>
      <c r="NPB7" s="71"/>
      <c r="NPC7" s="71"/>
      <c r="NPD7" s="71"/>
      <c r="NPE7" s="71"/>
      <c r="NPF7" s="71"/>
      <c r="NPG7" s="71"/>
      <c r="NPH7" s="71"/>
      <c r="NPI7" s="71"/>
      <c r="NPJ7" s="71"/>
      <c r="NPK7" s="71"/>
      <c r="NPL7" s="71"/>
      <c r="NPM7" s="71"/>
      <c r="NPN7" s="71"/>
      <c r="NPO7" s="71"/>
      <c r="NPP7" s="71"/>
      <c r="NPQ7" s="71"/>
      <c r="NPR7" s="71"/>
      <c r="NPS7" s="71"/>
      <c r="NPT7" s="71"/>
      <c r="NPU7" s="71"/>
      <c r="NPV7" s="71"/>
      <c r="NPW7" s="71"/>
      <c r="NPX7" s="71"/>
      <c r="NPY7" s="71"/>
      <c r="NPZ7" s="71"/>
      <c r="NQA7" s="71"/>
      <c r="NQB7" s="71"/>
      <c r="NQC7" s="71"/>
      <c r="NQD7" s="71"/>
      <c r="NQE7" s="71"/>
      <c r="NQF7" s="71"/>
      <c r="NQG7" s="71"/>
      <c r="NQH7" s="71"/>
      <c r="NQI7" s="71"/>
      <c r="NQJ7" s="71"/>
      <c r="NQK7" s="71"/>
      <c r="NQL7" s="71"/>
      <c r="NQM7" s="71"/>
      <c r="NQN7" s="71"/>
      <c r="NQO7" s="71"/>
      <c r="NQP7" s="71"/>
      <c r="NQQ7" s="71"/>
      <c r="NQR7" s="71"/>
      <c r="NQS7" s="71"/>
      <c r="NQT7" s="71"/>
      <c r="NQU7" s="71"/>
      <c r="NQV7" s="71"/>
      <c r="NQW7" s="71"/>
      <c r="NQX7" s="71"/>
      <c r="NQY7" s="71"/>
      <c r="NQZ7" s="71"/>
      <c r="NRA7" s="71"/>
      <c r="NRB7" s="71"/>
      <c r="NRC7" s="71"/>
      <c r="NRD7" s="71"/>
      <c r="NRE7" s="71"/>
      <c r="NRF7" s="71"/>
      <c r="NRG7" s="71"/>
      <c r="NRH7" s="71"/>
      <c r="NRI7" s="71"/>
      <c r="NRJ7" s="71"/>
      <c r="NRK7" s="71"/>
      <c r="NRL7" s="71"/>
      <c r="NRM7" s="71"/>
      <c r="NRN7" s="71"/>
      <c r="NRO7" s="71"/>
      <c r="NRP7" s="71"/>
      <c r="NRQ7" s="71"/>
      <c r="NRR7" s="71"/>
      <c r="NRS7" s="71"/>
      <c r="NRT7" s="71"/>
      <c r="NRU7" s="71"/>
      <c r="NRV7" s="71"/>
      <c r="NRW7" s="71"/>
      <c r="NRX7" s="71"/>
      <c r="NRY7" s="71"/>
      <c r="NRZ7" s="71"/>
      <c r="NSA7" s="71"/>
      <c r="NSB7" s="71"/>
      <c r="NSC7" s="71"/>
      <c r="NSD7" s="71"/>
      <c r="NSE7" s="71"/>
      <c r="NSF7" s="71"/>
      <c r="NSG7" s="71"/>
      <c r="NSH7" s="71"/>
      <c r="NSI7" s="71"/>
      <c r="NSJ7" s="71"/>
      <c r="NSK7" s="71"/>
      <c r="NSL7" s="71"/>
      <c r="NSM7" s="71"/>
      <c r="NSN7" s="71"/>
      <c r="NSO7" s="71"/>
      <c r="NSP7" s="71"/>
      <c r="NSQ7" s="71"/>
      <c r="NSR7" s="71"/>
      <c r="NSS7" s="71"/>
      <c r="NST7" s="71"/>
      <c r="NSU7" s="71"/>
      <c r="NSV7" s="71"/>
      <c r="NSW7" s="71"/>
      <c r="NSX7" s="71"/>
      <c r="NSY7" s="71"/>
      <c r="NSZ7" s="71"/>
      <c r="NTA7" s="71"/>
      <c r="NTB7" s="71"/>
      <c r="NTC7" s="71"/>
      <c r="NTD7" s="71"/>
      <c r="NTE7" s="71"/>
      <c r="NTF7" s="71"/>
      <c r="NTG7" s="71"/>
      <c r="NTH7" s="71"/>
      <c r="NTI7" s="71"/>
      <c r="NTJ7" s="71"/>
      <c r="NTK7" s="71"/>
      <c r="NTL7" s="71"/>
      <c r="NTM7" s="71"/>
      <c r="NTN7" s="71"/>
      <c r="NTO7" s="71"/>
      <c r="NTP7" s="71"/>
      <c r="NTQ7" s="71"/>
      <c r="NTR7" s="71"/>
      <c r="NTS7" s="71"/>
      <c r="NTT7" s="71"/>
      <c r="NTU7" s="71"/>
      <c r="NTV7" s="71"/>
      <c r="NTW7" s="71"/>
      <c r="NTX7" s="71"/>
      <c r="NTY7" s="71"/>
      <c r="NTZ7" s="71"/>
      <c r="NUA7" s="71"/>
      <c r="NUB7" s="71"/>
      <c r="NUC7" s="71"/>
      <c r="NUD7" s="71"/>
      <c r="NUE7" s="71"/>
      <c r="NUF7" s="71"/>
      <c r="NUG7" s="71"/>
      <c r="NUH7" s="71"/>
      <c r="NUI7" s="71"/>
      <c r="NUJ7" s="71"/>
      <c r="NUK7" s="71"/>
      <c r="NUL7" s="71"/>
      <c r="NUM7" s="71"/>
      <c r="NUN7" s="71"/>
      <c r="NUO7" s="71"/>
      <c r="NUP7" s="71"/>
      <c r="NUQ7" s="71"/>
      <c r="NUR7" s="71"/>
      <c r="NUS7" s="71"/>
      <c r="NUT7" s="71"/>
      <c r="NUU7" s="71"/>
      <c r="NUV7" s="71"/>
      <c r="NUW7" s="71"/>
      <c r="NUX7" s="71"/>
      <c r="NUY7" s="71"/>
      <c r="NUZ7" s="71"/>
      <c r="NVA7" s="71"/>
      <c r="NVB7" s="71"/>
      <c r="NVC7" s="71"/>
      <c r="NVD7" s="71"/>
      <c r="NVE7" s="71"/>
      <c r="NVF7" s="71"/>
      <c r="NVG7" s="71"/>
      <c r="NVH7" s="71"/>
      <c r="NVI7" s="71"/>
      <c r="NVJ7" s="71"/>
      <c r="NVK7" s="71"/>
      <c r="NVL7" s="71"/>
      <c r="NVM7" s="71"/>
      <c r="NVN7" s="71"/>
      <c r="NVO7" s="71"/>
      <c r="NVP7" s="71"/>
      <c r="NVQ7" s="71"/>
      <c r="NVR7" s="71"/>
      <c r="NVS7" s="71"/>
      <c r="NVT7" s="71"/>
      <c r="NVU7" s="71"/>
      <c r="NVV7" s="71"/>
      <c r="NVW7" s="71"/>
      <c r="NVX7" s="71"/>
      <c r="NVY7" s="71"/>
      <c r="NVZ7" s="71"/>
      <c r="NWA7" s="71"/>
      <c r="NWB7" s="71"/>
      <c r="NWC7" s="71"/>
      <c r="NWD7" s="71"/>
      <c r="NWE7" s="71"/>
      <c r="NWF7" s="71"/>
      <c r="NWG7" s="71"/>
      <c r="NWH7" s="71"/>
      <c r="NWI7" s="71"/>
      <c r="NWJ7" s="71"/>
      <c r="NWK7" s="71"/>
      <c r="NWL7" s="71"/>
      <c r="NWM7" s="71"/>
      <c r="NWN7" s="71"/>
      <c r="NWO7" s="71"/>
      <c r="NWP7" s="71"/>
      <c r="NWQ7" s="71"/>
      <c r="NWR7" s="71"/>
      <c r="NWS7" s="71"/>
      <c r="NWT7" s="71"/>
      <c r="NWU7" s="71"/>
      <c r="NWV7" s="71"/>
      <c r="NWW7" s="71"/>
      <c r="NWX7" s="71"/>
      <c r="NWY7" s="71"/>
      <c r="NWZ7" s="71"/>
      <c r="NXA7" s="71"/>
      <c r="NXB7" s="71"/>
      <c r="NXC7" s="71"/>
      <c r="NXD7" s="71"/>
      <c r="NXE7" s="71"/>
      <c r="NXF7" s="71"/>
      <c r="NXG7" s="71"/>
      <c r="NXH7" s="71"/>
      <c r="NXI7" s="71"/>
      <c r="NXJ7" s="71"/>
      <c r="NXK7" s="71"/>
      <c r="NXL7" s="71"/>
      <c r="NXM7" s="71"/>
      <c r="NXN7" s="71"/>
      <c r="NXO7" s="71"/>
      <c r="NXP7" s="71"/>
      <c r="NXQ7" s="71"/>
      <c r="NXR7" s="71"/>
      <c r="NXS7" s="71"/>
      <c r="NXT7" s="71"/>
      <c r="NXU7" s="71"/>
      <c r="NXV7" s="71"/>
      <c r="NXW7" s="71"/>
      <c r="NXX7" s="71"/>
      <c r="NXY7" s="71"/>
      <c r="NXZ7" s="71"/>
      <c r="NYA7" s="71"/>
      <c r="NYB7" s="71"/>
      <c r="NYC7" s="71"/>
      <c r="NYD7" s="71"/>
      <c r="NYE7" s="71"/>
      <c r="NYF7" s="71"/>
      <c r="NYG7" s="71"/>
      <c r="NYH7" s="71"/>
      <c r="NYI7" s="71"/>
      <c r="NYJ7" s="71"/>
      <c r="NYK7" s="71"/>
      <c r="NYL7" s="71"/>
      <c r="NYM7" s="71"/>
      <c r="NYN7" s="71"/>
      <c r="NYO7" s="71"/>
      <c r="NYP7" s="71"/>
      <c r="NYQ7" s="71"/>
      <c r="NYR7" s="71"/>
      <c r="NYS7" s="71"/>
      <c r="NYT7" s="71"/>
      <c r="NYU7" s="71"/>
      <c r="NYV7" s="71"/>
      <c r="NYW7" s="71"/>
      <c r="NYX7" s="71"/>
      <c r="NYY7" s="71"/>
      <c r="NYZ7" s="71"/>
      <c r="NZA7" s="71"/>
      <c r="NZB7" s="71"/>
      <c r="NZC7" s="71"/>
      <c r="NZD7" s="71"/>
      <c r="NZE7" s="71"/>
      <c r="NZF7" s="71"/>
      <c r="NZG7" s="71"/>
      <c r="NZH7" s="71"/>
      <c r="NZI7" s="71"/>
      <c r="NZJ7" s="71"/>
      <c r="NZK7" s="71"/>
      <c r="NZL7" s="71"/>
      <c r="NZM7" s="71"/>
      <c r="NZN7" s="71"/>
      <c r="NZO7" s="71"/>
      <c r="NZP7" s="71"/>
      <c r="NZQ7" s="71"/>
      <c r="NZR7" s="71"/>
      <c r="NZS7" s="71"/>
      <c r="NZT7" s="71"/>
      <c r="NZU7" s="71"/>
      <c r="NZV7" s="71"/>
      <c r="NZW7" s="71"/>
      <c r="NZX7" s="71"/>
      <c r="NZY7" s="71"/>
      <c r="NZZ7" s="71"/>
      <c r="OAA7" s="71"/>
      <c r="OAB7" s="71"/>
      <c r="OAC7" s="71"/>
      <c r="OAD7" s="71"/>
      <c r="OAE7" s="71"/>
      <c r="OAF7" s="71"/>
      <c r="OAG7" s="71"/>
      <c r="OAH7" s="71"/>
      <c r="OAI7" s="71"/>
      <c r="OAJ7" s="71"/>
      <c r="OAK7" s="71"/>
      <c r="OAL7" s="71"/>
      <c r="OAM7" s="71"/>
      <c r="OAN7" s="71"/>
      <c r="OAO7" s="71"/>
      <c r="OAP7" s="71"/>
      <c r="OAQ7" s="71"/>
      <c r="OAR7" s="71"/>
      <c r="OAS7" s="71"/>
      <c r="OAT7" s="71"/>
      <c r="OAU7" s="71"/>
      <c r="OAV7" s="71"/>
      <c r="OAW7" s="71"/>
      <c r="OAX7" s="71"/>
      <c r="OAY7" s="71"/>
      <c r="OAZ7" s="71"/>
      <c r="OBA7" s="71"/>
      <c r="OBB7" s="71"/>
      <c r="OBC7" s="71"/>
      <c r="OBD7" s="71"/>
      <c r="OBE7" s="71"/>
      <c r="OBF7" s="71"/>
      <c r="OBG7" s="71"/>
      <c r="OBH7" s="71"/>
      <c r="OBI7" s="71"/>
      <c r="OBJ7" s="71"/>
      <c r="OBK7" s="71"/>
      <c r="OBL7" s="71"/>
      <c r="OBM7" s="71"/>
      <c r="OBN7" s="71"/>
      <c r="OBO7" s="71"/>
      <c r="OBP7" s="71"/>
      <c r="OBQ7" s="71"/>
      <c r="OBR7" s="71"/>
      <c r="OBS7" s="71"/>
      <c r="OBT7" s="71"/>
      <c r="OBU7" s="71"/>
      <c r="OBV7" s="71"/>
      <c r="OBW7" s="71"/>
      <c r="OBX7" s="71"/>
      <c r="OBY7" s="71"/>
      <c r="OBZ7" s="71"/>
      <c r="OCA7" s="71"/>
      <c r="OCB7" s="71"/>
      <c r="OCC7" s="71"/>
      <c r="OCD7" s="71"/>
      <c r="OCE7" s="71"/>
      <c r="OCF7" s="71"/>
      <c r="OCG7" s="71"/>
      <c r="OCH7" s="71"/>
      <c r="OCI7" s="71"/>
      <c r="OCJ7" s="71"/>
      <c r="OCK7" s="71"/>
      <c r="OCL7" s="71"/>
      <c r="OCM7" s="71"/>
      <c r="OCN7" s="71"/>
      <c r="OCO7" s="71"/>
      <c r="OCP7" s="71"/>
      <c r="OCQ7" s="71"/>
      <c r="OCR7" s="71"/>
      <c r="OCS7" s="71"/>
      <c r="OCT7" s="71"/>
      <c r="OCU7" s="71"/>
      <c r="OCV7" s="71"/>
      <c r="OCW7" s="71"/>
      <c r="OCX7" s="71"/>
      <c r="OCY7" s="71"/>
      <c r="OCZ7" s="71"/>
      <c r="ODA7" s="71"/>
      <c r="ODB7" s="71"/>
      <c r="ODC7" s="71"/>
      <c r="ODD7" s="71"/>
      <c r="ODE7" s="71"/>
      <c r="ODF7" s="71"/>
      <c r="ODG7" s="71"/>
      <c r="ODH7" s="71"/>
      <c r="ODI7" s="71"/>
      <c r="ODJ7" s="71"/>
      <c r="ODK7" s="71"/>
      <c r="ODL7" s="71"/>
      <c r="ODM7" s="71"/>
      <c r="ODN7" s="71"/>
      <c r="ODO7" s="71"/>
      <c r="ODP7" s="71"/>
      <c r="ODQ7" s="71"/>
      <c r="ODR7" s="71"/>
      <c r="ODS7" s="71"/>
      <c r="ODT7" s="71"/>
      <c r="ODU7" s="71"/>
      <c r="ODV7" s="71"/>
      <c r="ODW7" s="71"/>
      <c r="ODX7" s="71"/>
      <c r="ODY7" s="71"/>
      <c r="ODZ7" s="71"/>
      <c r="OEA7" s="71"/>
      <c r="OEB7" s="71"/>
      <c r="OEC7" s="71"/>
      <c r="OED7" s="71"/>
      <c r="OEE7" s="71"/>
      <c r="OEF7" s="71"/>
      <c r="OEG7" s="71"/>
      <c r="OEH7" s="71"/>
      <c r="OEI7" s="71"/>
      <c r="OEJ7" s="71"/>
      <c r="OEK7" s="71"/>
      <c r="OEL7" s="71"/>
      <c r="OEM7" s="71"/>
      <c r="OEN7" s="71"/>
      <c r="OEO7" s="71"/>
      <c r="OEP7" s="71"/>
      <c r="OEQ7" s="71"/>
      <c r="OER7" s="71"/>
      <c r="OES7" s="71"/>
      <c r="OET7" s="71"/>
      <c r="OEU7" s="71"/>
      <c r="OEV7" s="71"/>
      <c r="OEW7" s="71"/>
      <c r="OEX7" s="71"/>
      <c r="OEY7" s="71"/>
      <c r="OEZ7" s="71"/>
      <c r="OFA7" s="71"/>
      <c r="OFB7" s="71"/>
      <c r="OFC7" s="71"/>
      <c r="OFD7" s="71"/>
      <c r="OFE7" s="71"/>
      <c r="OFF7" s="71"/>
      <c r="OFG7" s="71"/>
      <c r="OFH7" s="71"/>
      <c r="OFI7" s="71"/>
      <c r="OFJ7" s="71"/>
      <c r="OFK7" s="71"/>
      <c r="OFL7" s="71"/>
      <c r="OFM7" s="71"/>
      <c r="OFN7" s="71"/>
      <c r="OFO7" s="71"/>
      <c r="OFP7" s="71"/>
      <c r="OFQ7" s="71"/>
      <c r="OFR7" s="71"/>
      <c r="OFS7" s="71"/>
      <c r="OFT7" s="71"/>
      <c r="OFU7" s="71"/>
      <c r="OFV7" s="71"/>
      <c r="OFW7" s="71"/>
      <c r="OFX7" s="71"/>
      <c r="OFY7" s="71"/>
      <c r="OFZ7" s="71"/>
      <c r="OGA7" s="71"/>
      <c r="OGB7" s="71"/>
      <c r="OGC7" s="71"/>
      <c r="OGD7" s="71"/>
      <c r="OGE7" s="71"/>
      <c r="OGF7" s="71"/>
      <c r="OGG7" s="71"/>
      <c r="OGH7" s="71"/>
      <c r="OGI7" s="71"/>
      <c r="OGJ7" s="71"/>
      <c r="OGK7" s="71"/>
      <c r="OGL7" s="71"/>
      <c r="OGM7" s="71"/>
      <c r="OGN7" s="71"/>
      <c r="OGO7" s="71"/>
      <c r="OGP7" s="71"/>
      <c r="OGQ7" s="71"/>
      <c r="OGR7" s="71"/>
      <c r="OGS7" s="71"/>
      <c r="OGT7" s="71"/>
      <c r="OGU7" s="71"/>
      <c r="OGV7" s="71"/>
      <c r="OGW7" s="71"/>
      <c r="OGX7" s="71"/>
      <c r="OGY7" s="71"/>
      <c r="OGZ7" s="71"/>
      <c r="OHA7" s="71"/>
      <c r="OHB7" s="71"/>
      <c r="OHC7" s="71"/>
      <c r="OHD7" s="71"/>
      <c r="OHE7" s="71"/>
      <c r="OHF7" s="71"/>
      <c r="OHG7" s="71"/>
      <c r="OHH7" s="71"/>
      <c r="OHI7" s="71"/>
      <c r="OHJ7" s="71"/>
      <c r="OHK7" s="71"/>
      <c r="OHL7" s="71"/>
      <c r="OHM7" s="71"/>
      <c r="OHN7" s="71"/>
      <c r="OHO7" s="71"/>
      <c r="OHP7" s="71"/>
      <c r="OHQ7" s="71"/>
      <c r="OHR7" s="71"/>
      <c r="OHS7" s="71"/>
      <c r="OHT7" s="71"/>
      <c r="OHU7" s="71"/>
      <c r="OHV7" s="71"/>
      <c r="OHW7" s="71"/>
      <c r="OHX7" s="71"/>
      <c r="OHY7" s="71"/>
      <c r="OHZ7" s="71"/>
      <c r="OIA7" s="71"/>
      <c r="OIB7" s="71"/>
      <c r="OIC7" s="71"/>
      <c r="OID7" s="71"/>
      <c r="OIE7" s="71"/>
      <c r="OIF7" s="71"/>
      <c r="OIG7" s="71"/>
      <c r="OIH7" s="71"/>
      <c r="OII7" s="71"/>
      <c r="OIJ7" s="71"/>
      <c r="OIK7" s="71"/>
      <c r="OIL7" s="71"/>
      <c r="OIM7" s="71"/>
      <c r="OIN7" s="71"/>
      <c r="OIO7" s="71"/>
      <c r="OIP7" s="71"/>
      <c r="OIQ7" s="71"/>
      <c r="OIR7" s="71"/>
      <c r="OIS7" s="71"/>
      <c r="OIT7" s="71"/>
      <c r="OIU7" s="71"/>
      <c r="OIV7" s="71"/>
      <c r="OIW7" s="71"/>
      <c r="OIX7" s="71"/>
      <c r="OIY7" s="71"/>
      <c r="OIZ7" s="71"/>
      <c r="OJA7" s="71"/>
      <c r="OJB7" s="71"/>
      <c r="OJC7" s="71"/>
      <c r="OJD7" s="71"/>
      <c r="OJE7" s="71"/>
      <c r="OJF7" s="71"/>
      <c r="OJG7" s="71"/>
      <c r="OJH7" s="71"/>
      <c r="OJI7" s="71"/>
      <c r="OJJ7" s="71"/>
      <c r="OJK7" s="71"/>
      <c r="OJL7" s="71"/>
      <c r="OJM7" s="71"/>
      <c r="OJN7" s="71"/>
      <c r="OJO7" s="71"/>
      <c r="OJP7" s="71"/>
      <c r="OJQ7" s="71"/>
      <c r="OJR7" s="71"/>
      <c r="OJS7" s="71"/>
      <c r="OJT7" s="71"/>
      <c r="OJU7" s="71"/>
      <c r="OJV7" s="71"/>
      <c r="OJW7" s="71"/>
      <c r="OJX7" s="71"/>
      <c r="OJY7" s="71"/>
      <c r="OJZ7" s="71"/>
      <c r="OKA7" s="71"/>
      <c r="OKB7" s="71"/>
      <c r="OKC7" s="71"/>
      <c r="OKD7" s="71"/>
      <c r="OKE7" s="71"/>
      <c r="OKF7" s="71"/>
      <c r="OKG7" s="71"/>
      <c r="OKH7" s="71"/>
      <c r="OKI7" s="71"/>
      <c r="OKJ7" s="71"/>
      <c r="OKK7" s="71"/>
      <c r="OKL7" s="71"/>
      <c r="OKM7" s="71"/>
      <c r="OKN7" s="71"/>
      <c r="OKO7" s="71"/>
      <c r="OKP7" s="71"/>
      <c r="OKQ7" s="71"/>
      <c r="OKR7" s="71"/>
      <c r="OKS7" s="71"/>
      <c r="OKT7" s="71"/>
      <c r="OKU7" s="71"/>
      <c r="OKV7" s="71"/>
      <c r="OKW7" s="71"/>
      <c r="OKX7" s="71"/>
      <c r="OKY7" s="71"/>
      <c r="OKZ7" s="71"/>
      <c r="OLA7" s="71"/>
      <c r="OLB7" s="71"/>
      <c r="OLC7" s="71"/>
      <c r="OLD7" s="71"/>
      <c r="OLE7" s="71"/>
      <c r="OLF7" s="71"/>
      <c r="OLG7" s="71"/>
      <c r="OLH7" s="71"/>
      <c r="OLI7" s="71"/>
      <c r="OLJ7" s="71"/>
      <c r="OLK7" s="71"/>
      <c r="OLL7" s="71"/>
      <c r="OLM7" s="71"/>
      <c r="OLN7" s="71"/>
      <c r="OLO7" s="71"/>
      <c r="OLP7" s="71"/>
      <c r="OLQ7" s="71"/>
      <c r="OLR7" s="71"/>
      <c r="OLS7" s="71"/>
      <c r="OLT7" s="71"/>
      <c r="OLU7" s="71"/>
      <c r="OLV7" s="71"/>
      <c r="OLW7" s="71"/>
      <c r="OLX7" s="71"/>
      <c r="OLY7" s="71"/>
      <c r="OLZ7" s="71"/>
      <c r="OMA7" s="71"/>
      <c r="OMB7" s="71"/>
      <c r="OMC7" s="71"/>
      <c r="OMD7" s="71"/>
      <c r="OME7" s="71"/>
      <c r="OMF7" s="71"/>
      <c r="OMG7" s="71"/>
      <c r="OMH7" s="71"/>
      <c r="OMI7" s="71"/>
      <c r="OMJ7" s="71"/>
      <c r="OMK7" s="71"/>
      <c r="OML7" s="71"/>
      <c r="OMM7" s="71"/>
      <c r="OMN7" s="71"/>
      <c r="OMO7" s="71"/>
      <c r="OMP7" s="71"/>
      <c r="OMQ7" s="71"/>
      <c r="OMR7" s="71"/>
      <c r="OMS7" s="71"/>
      <c r="OMT7" s="71"/>
      <c r="OMU7" s="71"/>
      <c r="OMV7" s="71"/>
      <c r="OMW7" s="71"/>
      <c r="OMX7" s="71"/>
      <c r="OMY7" s="71"/>
      <c r="OMZ7" s="71"/>
      <c r="ONA7" s="71"/>
      <c r="ONB7" s="71"/>
      <c r="ONC7" s="71"/>
      <c r="OND7" s="71"/>
      <c r="ONE7" s="71"/>
      <c r="ONF7" s="71"/>
      <c r="ONG7" s="71"/>
      <c r="ONH7" s="71"/>
      <c r="ONI7" s="71"/>
      <c r="ONJ7" s="71"/>
      <c r="ONK7" s="71"/>
      <c r="ONL7" s="71"/>
      <c r="ONM7" s="71"/>
      <c r="ONN7" s="71"/>
      <c r="ONO7" s="71"/>
      <c r="ONP7" s="71"/>
      <c r="ONQ7" s="71"/>
      <c r="ONR7" s="71"/>
      <c r="ONS7" s="71"/>
      <c r="ONT7" s="71"/>
      <c r="ONU7" s="71"/>
      <c r="ONV7" s="71"/>
      <c r="ONW7" s="71"/>
      <c r="ONX7" s="71"/>
      <c r="ONY7" s="71"/>
      <c r="ONZ7" s="71"/>
      <c r="OOA7" s="71"/>
      <c r="OOB7" s="71"/>
      <c r="OOC7" s="71"/>
      <c r="OOD7" s="71"/>
      <c r="OOE7" s="71"/>
      <c r="OOF7" s="71"/>
      <c r="OOG7" s="71"/>
      <c r="OOH7" s="71"/>
      <c r="OOI7" s="71"/>
      <c r="OOJ7" s="71"/>
      <c r="OOK7" s="71"/>
      <c r="OOL7" s="71"/>
      <c r="OOM7" s="71"/>
      <c r="OON7" s="71"/>
      <c r="OOO7" s="71"/>
      <c r="OOP7" s="71"/>
      <c r="OOQ7" s="71"/>
      <c r="OOR7" s="71"/>
      <c r="OOS7" s="71"/>
      <c r="OOT7" s="71"/>
      <c r="OOU7" s="71"/>
      <c r="OOV7" s="71"/>
      <c r="OOW7" s="71"/>
      <c r="OOX7" s="71"/>
      <c r="OOY7" s="71"/>
      <c r="OOZ7" s="71"/>
      <c r="OPA7" s="71"/>
      <c r="OPB7" s="71"/>
      <c r="OPC7" s="71"/>
      <c r="OPD7" s="71"/>
      <c r="OPE7" s="71"/>
      <c r="OPF7" s="71"/>
      <c r="OPG7" s="71"/>
      <c r="OPH7" s="71"/>
      <c r="OPI7" s="71"/>
      <c r="OPJ7" s="71"/>
      <c r="OPK7" s="71"/>
      <c r="OPL7" s="71"/>
      <c r="OPM7" s="71"/>
      <c r="OPN7" s="71"/>
      <c r="OPO7" s="71"/>
      <c r="OPP7" s="71"/>
      <c r="OPQ7" s="71"/>
      <c r="OPR7" s="71"/>
      <c r="OPS7" s="71"/>
      <c r="OPT7" s="71"/>
      <c r="OPU7" s="71"/>
      <c r="OPV7" s="71"/>
      <c r="OPW7" s="71"/>
      <c r="OPX7" s="71"/>
      <c r="OPY7" s="71"/>
      <c r="OPZ7" s="71"/>
      <c r="OQA7" s="71"/>
      <c r="OQB7" s="71"/>
      <c r="OQC7" s="71"/>
      <c r="OQD7" s="71"/>
      <c r="OQE7" s="71"/>
      <c r="OQF7" s="71"/>
      <c r="OQG7" s="71"/>
      <c r="OQH7" s="71"/>
      <c r="OQI7" s="71"/>
      <c r="OQJ7" s="71"/>
      <c r="OQK7" s="71"/>
      <c r="OQL7" s="71"/>
      <c r="OQM7" s="71"/>
      <c r="OQN7" s="71"/>
      <c r="OQO7" s="71"/>
      <c r="OQP7" s="71"/>
      <c r="OQQ7" s="71"/>
      <c r="OQR7" s="71"/>
      <c r="OQS7" s="71"/>
      <c r="OQT7" s="71"/>
      <c r="OQU7" s="71"/>
      <c r="OQV7" s="71"/>
      <c r="OQW7" s="71"/>
      <c r="OQX7" s="71"/>
      <c r="OQY7" s="71"/>
      <c r="OQZ7" s="71"/>
      <c r="ORA7" s="71"/>
      <c r="ORB7" s="71"/>
      <c r="ORC7" s="71"/>
      <c r="ORD7" s="71"/>
      <c r="ORE7" s="71"/>
      <c r="ORF7" s="71"/>
      <c r="ORG7" s="71"/>
      <c r="ORH7" s="71"/>
      <c r="ORI7" s="71"/>
      <c r="ORJ7" s="71"/>
      <c r="ORK7" s="71"/>
      <c r="ORL7" s="71"/>
      <c r="ORM7" s="71"/>
      <c r="ORN7" s="71"/>
      <c r="ORO7" s="71"/>
      <c r="ORP7" s="71"/>
      <c r="ORQ7" s="71"/>
      <c r="ORR7" s="71"/>
      <c r="ORS7" s="71"/>
      <c r="ORT7" s="71"/>
      <c r="ORU7" s="71"/>
      <c r="ORV7" s="71"/>
      <c r="ORW7" s="71"/>
      <c r="ORX7" s="71"/>
      <c r="ORY7" s="71"/>
      <c r="ORZ7" s="71"/>
      <c r="OSA7" s="71"/>
      <c r="OSB7" s="71"/>
      <c r="OSC7" s="71"/>
      <c r="OSD7" s="71"/>
      <c r="OSE7" s="71"/>
      <c r="OSF7" s="71"/>
      <c r="OSG7" s="71"/>
      <c r="OSH7" s="71"/>
      <c r="OSI7" s="71"/>
      <c r="OSJ7" s="71"/>
      <c r="OSK7" s="71"/>
      <c r="OSL7" s="71"/>
      <c r="OSM7" s="71"/>
      <c r="OSN7" s="71"/>
      <c r="OSO7" s="71"/>
      <c r="OSP7" s="71"/>
      <c r="OSQ7" s="71"/>
      <c r="OSR7" s="71"/>
      <c r="OSS7" s="71"/>
      <c r="OST7" s="71"/>
      <c r="OSU7" s="71"/>
      <c r="OSV7" s="71"/>
      <c r="OSW7" s="71"/>
      <c r="OSX7" s="71"/>
      <c r="OSY7" s="71"/>
      <c r="OSZ7" s="71"/>
      <c r="OTA7" s="71"/>
      <c r="OTB7" s="71"/>
      <c r="OTC7" s="71"/>
      <c r="OTD7" s="71"/>
      <c r="OTE7" s="71"/>
      <c r="OTF7" s="71"/>
      <c r="OTG7" s="71"/>
      <c r="OTH7" s="71"/>
      <c r="OTI7" s="71"/>
      <c r="OTJ7" s="71"/>
      <c r="OTK7" s="71"/>
      <c r="OTL7" s="71"/>
      <c r="OTM7" s="71"/>
      <c r="OTN7" s="71"/>
      <c r="OTO7" s="71"/>
      <c r="OTP7" s="71"/>
      <c r="OTQ7" s="71"/>
      <c r="OTR7" s="71"/>
      <c r="OTS7" s="71"/>
      <c r="OTT7" s="71"/>
      <c r="OTU7" s="71"/>
      <c r="OTV7" s="71"/>
      <c r="OTW7" s="71"/>
      <c r="OTX7" s="71"/>
      <c r="OTY7" s="71"/>
      <c r="OTZ7" s="71"/>
      <c r="OUA7" s="71"/>
      <c r="OUB7" s="71"/>
      <c r="OUC7" s="71"/>
      <c r="OUD7" s="71"/>
      <c r="OUE7" s="71"/>
      <c r="OUF7" s="71"/>
      <c r="OUG7" s="71"/>
      <c r="OUH7" s="71"/>
      <c r="OUI7" s="71"/>
      <c r="OUJ7" s="71"/>
      <c r="OUK7" s="71"/>
      <c r="OUL7" s="71"/>
      <c r="OUM7" s="71"/>
      <c r="OUN7" s="71"/>
      <c r="OUO7" s="71"/>
      <c r="OUP7" s="71"/>
      <c r="OUQ7" s="71"/>
      <c r="OUR7" s="71"/>
      <c r="OUS7" s="71"/>
      <c r="OUT7" s="71"/>
      <c r="OUU7" s="71"/>
      <c r="OUV7" s="71"/>
      <c r="OUW7" s="71"/>
      <c r="OUX7" s="71"/>
      <c r="OUY7" s="71"/>
      <c r="OUZ7" s="71"/>
      <c r="OVA7" s="71"/>
      <c r="OVB7" s="71"/>
      <c r="OVC7" s="71"/>
      <c r="OVD7" s="71"/>
      <c r="OVE7" s="71"/>
      <c r="OVF7" s="71"/>
      <c r="OVG7" s="71"/>
      <c r="OVH7" s="71"/>
      <c r="OVI7" s="71"/>
      <c r="OVJ7" s="71"/>
      <c r="OVK7" s="71"/>
      <c r="OVL7" s="71"/>
      <c r="OVM7" s="71"/>
      <c r="OVN7" s="71"/>
      <c r="OVO7" s="71"/>
      <c r="OVP7" s="71"/>
      <c r="OVQ7" s="71"/>
      <c r="OVR7" s="71"/>
      <c r="OVS7" s="71"/>
      <c r="OVT7" s="71"/>
      <c r="OVU7" s="71"/>
      <c r="OVV7" s="71"/>
      <c r="OVW7" s="71"/>
      <c r="OVX7" s="71"/>
      <c r="OVY7" s="71"/>
      <c r="OVZ7" s="71"/>
      <c r="OWA7" s="71"/>
      <c r="OWB7" s="71"/>
      <c r="OWC7" s="71"/>
      <c r="OWD7" s="71"/>
      <c r="OWE7" s="71"/>
      <c r="OWF7" s="71"/>
      <c r="OWG7" s="71"/>
      <c r="OWH7" s="71"/>
      <c r="OWI7" s="71"/>
      <c r="OWJ7" s="71"/>
      <c r="OWK7" s="71"/>
      <c r="OWL7" s="71"/>
      <c r="OWM7" s="71"/>
      <c r="OWN7" s="71"/>
      <c r="OWO7" s="71"/>
      <c r="OWP7" s="71"/>
      <c r="OWQ7" s="71"/>
      <c r="OWR7" s="71"/>
      <c r="OWS7" s="71"/>
      <c r="OWT7" s="71"/>
      <c r="OWU7" s="71"/>
      <c r="OWV7" s="71"/>
      <c r="OWW7" s="71"/>
      <c r="OWX7" s="71"/>
      <c r="OWY7" s="71"/>
      <c r="OWZ7" s="71"/>
      <c r="OXA7" s="71"/>
      <c r="OXB7" s="71"/>
      <c r="OXC7" s="71"/>
      <c r="OXD7" s="71"/>
      <c r="OXE7" s="71"/>
      <c r="OXF7" s="71"/>
      <c r="OXG7" s="71"/>
      <c r="OXH7" s="71"/>
      <c r="OXI7" s="71"/>
      <c r="OXJ7" s="71"/>
      <c r="OXK7" s="71"/>
      <c r="OXL7" s="71"/>
      <c r="OXM7" s="71"/>
      <c r="OXN7" s="71"/>
      <c r="OXO7" s="71"/>
      <c r="OXP7" s="71"/>
      <c r="OXQ7" s="71"/>
      <c r="OXR7" s="71"/>
      <c r="OXS7" s="71"/>
      <c r="OXT7" s="71"/>
      <c r="OXU7" s="71"/>
      <c r="OXV7" s="71"/>
      <c r="OXW7" s="71"/>
      <c r="OXX7" s="71"/>
      <c r="OXY7" s="71"/>
      <c r="OXZ7" s="71"/>
      <c r="OYA7" s="71"/>
      <c r="OYB7" s="71"/>
      <c r="OYC7" s="71"/>
      <c r="OYD7" s="71"/>
      <c r="OYE7" s="71"/>
      <c r="OYF7" s="71"/>
      <c r="OYG7" s="71"/>
      <c r="OYH7" s="71"/>
      <c r="OYI7" s="71"/>
      <c r="OYJ7" s="71"/>
      <c r="OYK7" s="71"/>
      <c r="OYL7" s="71"/>
      <c r="OYM7" s="71"/>
      <c r="OYN7" s="71"/>
      <c r="OYO7" s="71"/>
      <c r="OYP7" s="71"/>
      <c r="OYQ7" s="71"/>
      <c r="OYR7" s="71"/>
      <c r="OYS7" s="71"/>
      <c r="OYT7" s="71"/>
      <c r="OYU7" s="71"/>
      <c r="OYV7" s="71"/>
      <c r="OYW7" s="71"/>
      <c r="OYX7" s="71"/>
      <c r="OYY7" s="71"/>
      <c r="OYZ7" s="71"/>
      <c r="OZA7" s="71"/>
      <c r="OZB7" s="71"/>
      <c r="OZC7" s="71"/>
      <c r="OZD7" s="71"/>
      <c r="OZE7" s="71"/>
      <c r="OZF7" s="71"/>
      <c r="OZG7" s="71"/>
      <c r="OZH7" s="71"/>
      <c r="OZI7" s="71"/>
      <c r="OZJ7" s="71"/>
      <c r="OZK7" s="71"/>
      <c r="OZL7" s="71"/>
      <c r="OZM7" s="71"/>
      <c r="OZN7" s="71"/>
      <c r="OZO7" s="71"/>
      <c r="OZP7" s="71"/>
      <c r="OZQ7" s="71"/>
      <c r="OZR7" s="71"/>
      <c r="OZS7" s="71"/>
      <c r="OZT7" s="71"/>
      <c r="OZU7" s="71"/>
      <c r="OZV7" s="71"/>
      <c r="OZW7" s="71"/>
      <c r="OZX7" s="71"/>
      <c r="OZY7" s="71"/>
      <c r="OZZ7" s="71"/>
      <c r="PAA7" s="71"/>
      <c r="PAB7" s="71"/>
      <c r="PAC7" s="71"/>
      <c r="PAD7" s="71"/>
      <c r="PAE7" s="71"/>
      <c r="PAF7" s="71"/>
      <c r="PAG7" s="71"/>
      <c r="PAH7" s="71"/>
      <c r="PAI7" s="71"/>
      <c r="PAJ7" s="71"/>
      <c r="PAK7" s="71"/>
      <c r="PAL7" s="71"/>
      <c r="PAM7" s="71"/>
      <c r="PAN7" s="71"/>
      <c r="PAO7" s="71"/>
      <c r="PAP7" s="71"/>
      <c r="PAQ7" s="71"/>
      <c r="PAR7" s="71"/>
      <c r="PAS7" s="71"/>
      <c r="PAT7" s="71"/>
      <c r="PAU7" s="71"/>
      <c r="PAV7" s="71"/>
      <c r="PAW7" s="71"/>
      <c r="PAX7" s="71"/>
      <c r="PAY7" s="71"/>
      <c r="PAZ7" s="71"/>
      <c r="PBA7" s="71"/>
      <c r="PBB7" s="71"/>
      <c r="PBC7" s="71"/>
      <c r="PBD7" s="71"/>
      <c r="PBE7" s="71"/>
      <c r="PBF7" s="71"/>
      <c r="PBG7" s="71"/>
      <c r="PBH7" s="71"/>
      <c r="PBI7" s="71"/>
      <c r="PBJ7" s="71"/>
      <c r="PBK7" s="71"/>
      <c r="PBL7" s="71"/>
      <c r="PBM7" s="71"/>
      <c r="PBN7" s="71"/>
      <c r="PBO7" s="71"/>
      <c r="PBP7" s="71"/>
      <c r="PBQ7" s="71"/>
      <c r="PBR7" s="71"/>
      <c r="PBS7" s="71"/>
      <c r="PBT7" s="71"/>
      <c r="PBU7" s="71"/>
      <c r="PBV7" s="71"/>
      <c r="PBW7" s="71"/>
      <c r="PBX7" s="71"/>
      <c r="PBY7" s="71"/>
      <c r="PBZ7" s="71"/>
      <c r="PCA7" s="71"/>
      <c r="PCB7" s="71"/>
      <c r="PCC7" s="71"/>
      <c r="PCD7" s="71"/>
      <c r="PCE7" s="71"/>
      <c r="PCF7" s="71"/>
      <c r="PCG7" s="71"/>
      <c r="PCH7" s="71"/>
      <c r="PCI7" s="71"/>
      <c r="PCJ7" s="71"/>
      <c r="PCK7" s="71"/>
      <c r="PCL7" s="71"/>
      <c r="PCM7" s="71"/>
      <c r="PCN7" s="71"/>
      <c r="PCO7" s="71"/>
      <c r="PCP7" s="71"/>
      <c r="PCQ7" s="71"/>
      <c r="PCR7" s="71"/>
      <c r="PCS7" s="71"/>
      <c r="PCT7" s="71"/>
      <c r="PCU7" s="71"/>
      <c r="PCV7" s="71"/>
      <c r="PCW7" s="71"/>
      <c r="PCX7" s="71"/>
      <c r="PCY7" s="71"/>
      <c r="PCZ7" s="71"/>
      <c r="PDA7" s="71"/>
      <c r="PDB7" s="71"/>
      <c r="PDC7" s="71"/>
      <c r="PDD7" s="71"/>
      <c r="PDE7" s="71"/>
      <c r="PDF7" s="71"/>
      <c r="PDG7" s="71"/>
      <c r="PDH7" s="71"/>
      <c r="PDI7" s="71"/>
      <c r="PDJ7" s="71"/>
      <c r="PDK7" s="71"/>
      <c r="PDL7" s="71"/>
      <c r="PDM7" s="71"/>
      <c r="PDN7" s="71"/>
      <c r="PDO7" s="71"/>
      <c r="PDP7" s="71"/>
      <c r="PDQ7" s="71"/>
      <c r="PDR7" s="71"/>
      <c r="PDS7" s="71"/>
      <c r="PDT7" s="71"/>
      <c r="PDU7" s="71"/>
      <c r="PDV7" s="71"/>
      <c r="PDW7" s="71"/>
      <c r="PDX7" s="71"/>
      <c r="PDY7" s="71"/>
      <c r="PDZ7" s="71"/>
      <c r="PEA7" s="71"/>
      <c r="PEB7" s="71"/>
      <c r="PEC7" s="71"/>
      <c r="PED7" s="71"/>
      <c r="PEE7" s="71"/>
      <c r="PEF7" s="71"/>
      <c r="PEG7" s="71"/>
      <c r="PEH7" s="71"/>
      <c r="PEI7" s="71"/>
      <c r="PEJ7" s="71"/>
      <c r="PEK7" s="71"/>
      <c r="PEL7" s="71"/>
      <c r="PEM7" s="71"/>
      <c r="PEN7" s="71"/>
      <c r="PEO7" s="71"/>
      <c r="PEP7" s="71"/>
      <c r="PEQ7" s="71"/>
      <c r="PER7" s="71"/>
      <c r="PES7" s="71"/>
      <c r="PET7" s="71"/>
      <c r="PEU7" s="71"/>
      <c r="PEV7" s="71"/>
      <c r="PEW7" s="71"/>
      <c r="PEX7" s="71"/>
      <c r="PEY7" s="71"/>
      <c r="PEZ7" s="71"/>
      <c r="PFA7" s="71"/>
      <c r="PFB7" s="71"/>
      <c r="PFC7" s="71"/>
      <c r="PFD7" s="71"/>
      <c r="PFE7" s="71"/>
      <c r="PFF7" s="71"/>
      <c r="PFG7" s="71"/>
      <c r="PFH7" s="71"/>
      <c r="PFI7" s="71"/>
      <c r="PFJ7" s="71"/>
      <c r="PFK7" s="71"/>
      <c r="PFL7" s="71"/>
      <c r="PFM7" s="71"/>
      <c r="PFN7" s="71"/>
      <c r="PFO7" s="71"/>
      <c r="PFP7" s="71"/>
      <c r="PFQ7" s="71"/>
      <c r="PFR7" s="71"/>
      <c r="PFS7" s="71"/>
      <c r="PFT7" s="71"/>
      <c r="PFU7" s="71"/>
      <c r="PFV7" s="71"/>
      <c r="PFW7" s="71"/>
      <c r="PFX7" s="71"/>
      <c r="PFY7" s="71"/>
      <c r="PFZ7" s="71"/>
      <c r="PGA7" s="71"/>
      <c r="PGB7" s="71"/>
      <c r="PGC7" s="71"/>
      <c r="PGD7" s="71"/>
      <c r="PGE7" s="71"/>
      <c r="PGF7" s="71"/>
      <c r="PGG7" s="71"/>
      <c r="PGH7" s="71"/>
      <c r="PGI7" s="71"/>
      <c r="PGJ7" s="71"/>
      <c r="PGK7" s="71"/>
      <c r="PGL7" s="71"/>
      <c r="PGM7" s="71"/>
      <c r="PGN7" s="71"/>
      <c r="PGO7" s="71"/>
      <c r="PGP7" s="71"/>
      <c r="PGQ7" s="71"/>
      <c r="PGR7" s="71"/>
      <c r="PGS7" s="71"/>
      <c r="PGT7" s="71"/>
      <c r="PGU7" s="71"/>
      <c r="PGV7" s="71"/>
      <c r="PGW7" s="71"/>
      <c r="PGX7" s="71"/>
      <c r="PGY7" s="71"/>
      <c r="PGZ7" s="71"/>
      <c r="PHA7" s="71"/>
      <c r="PHB7" s="71"/>
      <c r="PHC7" s="71"/>
      <c r="PHD7" s="71"/>
      <c r="PHE7" s="71"/>
      <c r="PHF7" s="71"/>
      <c r="PHG7" s="71"/>
      <c r="PHH7" s="71"/>
      <c r="PHI7" s="71"/>
      <c r="PHJ7" s="71"/>
      <c r="PHK7" s="71"/>
      <c r="PHL7" s="71"/>
      <c r="PHM7" s="71"/>
      <c r="PHN7" s="71"/>
      <c r="PHO7" s="71"/>
      <c r="PHP7" s="71"/>
      <c r="PHQ7" s="71"/>
      <c r="PHR7" s="71"/>
      <c r="PHS7" s="71"/>
      <c r="PHT7" s="71"/>
      <c r="PHU7" s="71"/>
      <c r="PHV7" s="71"/>
      <c r="PHW7" s="71"/>
      <c r="PHX7" s="71"/>
      <c r="PHY7" s="71"/>
      <c r="PHZ7" s="71"/>
      <c r="PIA7" s="71"/>
      <c r="PIB7" s="71"/>
      <c r="PIC7" s="71"/>
      <c r="PID7" s="71"/>
      <c r="PIE7" s="71"/>
      <c r="PIF7" s="71"/>
      <c r="PIG7" s="71"/>
      <c r="PIH7" s="71"/>
      <c r="PII7" s="71"/>
      <c r="PIJ7" s="71"/>
      <c r="PIK7" s="71"/>
      <c r="PIL7" s="71"/>
      <c r="PIM7" s="71"/>
      <c r="PIN7" s="71"/>
      <c r="PIO7" s="71"/>
      <c r="PIP7" s="71"/>
      <c r="PIQ7" s="71"/>
      <c r="PIR7" s="71"/>
      <c r="PIS7" s="71"/>
      <c r="PIT7" s="71"/>
      <c r="PIU7" s="71"/>
      <c r="PIV7" s="71"/>
      <c r="PIW7" s="71"/>
      <c r="PIX7" s="71"/>
      <c r="PIY7" s="71"/>
      <c r="PIZ7" s="71"/>
      <c r="PJA7" s="71"/>
      <c r="PJB7" s="71"/>
      <c r="PJC7" s="71"/>
      <c r="PJD7" s="71"/>
      <c r="PJE7" s="71"/>
      <c r="PJF7" s="71"/>
      <c r="PJG7" s="71"/>
      <c r="PJH7" s="71"/>
      <c r="PJI7" s="71"/>
      <c r="PJJ7" s="71"/>
      <c r="PJK7" s="71"/>
      <c r="PJL7" s="71"/>
      <c r="PJM7" s="71"/>
      <c r="PJN7" s="71"/>
      <c r="PJO7" s="71"/>
      <c r="PJP7" s="71"/>
      <c r="PJQ7" s="71"/>
      <c r="PJR7" s="71"/>
      <c r="PJS7" s="71"/>
      <c r="PJT7" s="71"/>
      <c r="PJU7" s="71"/>
      <c r="PJV7" s="71"/>
      <c r="PJW7" s="71"/>
      <c r="PJX7" s="71"/>
      <c r="PJY7" s="71"/>
      <c r="PJZ7" s="71"/>
      <c r="PKA7" s="71"/>
      <c r="PKB7" s="71"/>
      <c r="PKC7" s="71"/>
      <c r="PKD7" s="71"/>
      <c r="PKE7" s="71"/>
      <c r="PKF7" s="71"/>
      <c r="PKG7" s="71"/>
      <c r="PKH7" s="71"/>
      <c r="PKI7" s="71"/>
      <c r="PKJ7" s="71"/>
      <c r="PKK7" s="71"/>
      <c r="PKL7" s="71"/>
      <c r="PKM7" s="71"/>
      <c r="PKN7" s="71"/>
      <c r="PKO7" s="71"/>
      <c r="PKP7" s="71"/>
      <c r="PKQ7" s="71"/>
      <c r="PKR7" s="71"/>
      <c r="PKS7" s="71"/>
      <c r="PKT7" s="71"/>
      <c r="PKU7" s="71"/>
      <c r="PKV7" s="71"/>
      <c r="PKW7" s="71"/>
      <c r="PKX7" s="71"/>
      <c r="PKY7" s="71"/>
      <c r="PKZ7" s="71"/>
      <c r="PLA7" s="71"/>
      <c r="PLB7" s="71"/>
      <c r="PLC7" s="71"/>
      <c r="PLD7" s="71"/>
      <c r="PLE7" s="71"/>
      <c r="PLF7" s="71"/>
      <c r="PLG7" s="71"/>
      <c r="PLH7" s="71"/>
      <c r="PLI7" s="71"/>
      <c r="PLJ7" s="71"/>
      <c r="PLK7" s="71"/>
      <c r="PLL7" s="71"/>
      <c r="PLM7" s="71"/>
      <c r="PLN7" s="71"/>
      <c r="PLO7" s="71"/>
      <c r="PLP7" s="71"/>
      <c r="PLQ7" s="71"/>
      <c r="PLR7" s="71"/>
      <c r="PLS7" s="71"/>
      <c r="PLT7" s="71"/>
      <c r="PLU7" s="71"/>
      <c r="PLV7" s="71"/>
      <c r="PLW7" s="71"/>
      <c r="PLX7" s="71"/>
      <c r="PLY7" s="71"/>
      <c r="PLZ7" s="71"/>
      <c r="PMA7" s="71"/>
      <c r="PMB7" s="71"/>
      <c r="PMC7" s="71"/>
      <c r="PMD7" s="71"/>
      <c r="PME7" s="71"/>
      <c r="PMF7" s="71"/>
      <c r="PMG7" s="71"/>
      <c r="PMH7" s="71"/>
      <c r="PMI7" s="71"/>
      <c r="PMJ7" s="71"/>
      <c r="PMK7" s="71"/>
      <c r="PML7" s="71"/>
      <c r="PMM7" s="71"/>
      <c r="PMN7" s="71"/>
      <c r="PMO7" s="71"/>
      <c r="PMP7" s="71"/>
      <c r="PMQ7" s="71"/>
      <c r="PMR7" s="71"/>
      <c r="PMS7" s="71"/>
      <c r="PMT7" s="71"/>
      <c r="PMU7" s="71"/>
      <c r="PMV7" s="71"/>
      <c r="PMW7" s="71"/>
      <c r="PMX7" s="71"/>
      <c r="PMY7" s="71"/>
      <c r="PMZ7" s="71"/>
      <c r="PNA7" s="71"/>
      <c r="PNB7" s="71"/>
      <c r="PNC7" s="71"/>
      <c r="PND7" s="71"/>
      <c r="PNE7" s="71"/>
      <c r="PNF7" s="71"/>
      <c r="PNG7" s="71"/>
      <c r="PNH7" s="71"/>
      <c r="PNI7" s="71"/>
      <c r="PNJ7" s="71"/>
      <c r="PNK7" s="71"/>
      <c r="PNL7" s="71"/>
      <c r="PNM7" s="71"/>
      <c r="PNN7" s="71"/>
      <c r="PNO7" s="71"/>
      <c r="PNP7" s="71"/>
      <c r="PNQ7" s="71"/>
      <c r="PNR7" s="71"/>
      <c r="PNS7" s="71"/>
      <c r="PNT7" s="71"/>
      <c r="PNU7" s="71"/>
      <c r="PNV7" s="71"/>
      <c r="PNW7" s="71"/>
      <c r="PNX7" s="71"/>
      <c r="PNY7" s="71"/>
      <c r="PNZ7" s="71"/>
      <c r="POA7" s="71"/>
      <c r="POB7" s="71"/>
      <c r="POC7" s="71"/>
      <c r="POD7" s="71"/>
      <c r="POE7" s="71"/>
      <c r="POF7" s="71"/>
      <c r="POG7" s="71"/>
      <c r="POH7" s="71"/>
      <c r="POI7" s="71"/>
      <c r="POJ7" s="71"/>
      <c r="POK7" s="71"/>
      <c r="POL7" s="71"/>
      <c r="POM7" s="71"/>
      <c r="PON7" s="71"/>
      <c r="POO7" s="71"/>
      <c r="POP7" s="71"/>
      <c r="POQ7" s="71"/>
      <c r="POR7" s="71"/>
      <c r="POS7" s="71"/>
      <c r="POT7" s="71"/>
      <c r="POU7" s="71"/>
      <c r="POV7" s="71"/>
      <c r="POW7" s="71"/>
      <c r="POX7" s="71"/>
      <c r="POY7" s="71"/>
      <c r="POZ7" s="71"/>
      <c r="PPA7" s="71"/>
      <c r="PPB7" s="71"/>
      <c r="PPC7" s="71"/>
      <c r="PPD7" s="71"/>
      <c r="PPE7" s="71"/>
      <c r="PPF7" s="71"/>
      <c r="PPG7" s="71"/>
      <c r="PPH7" s="71"/>
      <c r="PPI7" s="71"/>
      <c r="PPJ7" s="71"/>
      <c r="PPK7" s="71"/>
      <c r="PPL7" s="71"/>
      <c r="PPM7" s="71"/>
      <c r="PPN7" s="71"/>
      <c r="PPO7" s="71"/>
      <c r="PPP7" s="71"/>
      <c r="PPQ7" s="71"/>
      <c r="PPR7" s="71"/>
      <c r="PPS7" s="71"/>
      <c r="PPT7" s="71"/>
      <c r="PPU7" s="71"/>
      <c r="PPV7" s="71"/>
      <c r="PPW7" s="71"/>
      <c r="PPX7" s="71"/>
      <c r="PPY7" s="71"/>
      <c r="PPZ7" s="71"/>
      <c r="PQA7" s="71"/>
      <c r="PQB7" s="71"/>
      <c r="PQC7" s="71"/>
      <c r="PQD7" s="71"/>
      <c r="PQE7" s="71"/>
      <c r="PQF7" s="71"/>
      <c r="PQG7" s="71"/>
      <c r="PQH7" s="71"/>
      <c r="PQI7" s="71"/>
      <c r="PQJ7" s="71"/>
      <c r="PQK7" s="71"/>
      <c r="PQL7" s="71"/>
      <c r="PQM7" s="71"/>
      <c r="PQN7" s="71"/>
      <c r="PQO7" s="71"/>
      <c r="PQP7" s="71"/>
      <c r="PQQ7" s="71"/>
      <c r="PQR7" s="71"/>
      <c r="PQS7" s="71"/>
      <c r="PQT7" s="71"/>
      <c r="PQU7" s="71"/>
      <c r="PQV7" s="71"/>
      <c r="PQW7" s="71"/>
      <c r="PQX7" s="71"/>
      <c r="PQY7" s="71"/>
      <c r="PQZ7" s="71"/>
      <c r="PRA7" s="71"/>
      <c r="PRB7" s="71"/>
      <c r="PRC7" s="71"/>
      <c r="PRD7" s="71"/>
      <c r="PRE7" s="71"/>
      <c r="PRF7" s="71"/>
      <c r="PRG7" s="71"/>
      <c r="PRH7" s="71"/>
      <c r="PRI7" s="71"/>
      <c r="PRJ7" s="71"/>
      <c r="PRK7" s="71"/>
      <c r="PRL7" s="71"/>
      <c r="PRM7" s="71"/>
      <c r="PRN7" s="71"/>
      <c r="PRO7" s="71"/>
      <c r="PRP7" s="71"/>
      <c r="PRQ7" s="71"/>
      <c r="PRR7" s="71"/>
      <c r="PRS7" s="71"/>
      <c r="PRT7" s="71"/>
      <c r="PRU7" s="71"/>
      <c r="PRV7" s="71"/>
      <c r="PRW7" s="71"/>
      <c r="PRX7" s="71"/>
      <c r="PRY7" s="71"/>
      <c r="PRZ7" s="71"/>
      <c r="PSA7" s="71"/>
      <c r="PSB7" s="71"/>
      <c r="PSC7" s="71"/>
      <c r="PSD7" s="71"/>
      <c r="PSE7" s="71"/>
      <c r="PSF7" s="71"/>
      <c r="PSG7" s="71"/>
      <c r="PSH7" s="71"/>
      <c r="PSI7" s="71"/>
      <c r="PSJ7" s="71"/>
      <c r="PSK7" s="71"/>
      <c r="PSL7" s="71"/>
      <c r="PSM7" s="71"/>
      <c r="PSN7" s="71"/>
      <c r="PSO7" s="71"/>
      <c r="PSP7" s="71"/>
      <c r="PSQ7" s="71"/>
      <c r="PSR7" s="71"/>
      <c r="PSS7" s="71"/>
      <c r="PST7" s="71"/>
      <c r="PSU7" s="71"/>
      <c r="PSV7" s="71"/>
      <c r="PSW7" s="71"/>
      <c r="PSX7" s="71"/>
      <c r="PSY7" s="71"/>
      <c r="PSZ7" s="71"/>
      <c r="PTA7" s="71"/>
      <c r="PTB7" s="71"/>
      <c r="PTC7" s="71"/>
      <c r="PTD7" s="71"/>
      <c r="PTE7" s="71"/>
      <c r="PTF7" s="71"/>
      <c r="PTG7" s="71"/>
      <c r="PTH7" s="71"/>
      <c r="PTI7" s="71"/>
      <c r="PTJ7" s="71"/>
      <c r="PTK7" s="71"/>
      <c r="PTL7" s="71"/>
      <c r="PTM7" s="71"/>
      <c r="PTN7" s="71"/>
      <c r="PTO7" s="71"/>
      <c r="PTP7" s="71"/>
      <c r="PTQ7" s="71"/>
      <c r="PTR7" s="71"/>
      <c r="PTS7" s="71"/>
      <c r="PTT7" s="71"/>
      <c r="PTU7" s="71"/>
      <c r="PTV7" s="71"/>
      <c r="PTW7" s="71"/>
      <c r="PTX7" s="71"/>
      <c r="PTY7" s="71"/>
      <c r="PTZ7" s="71"/>
      <c r="PUA7" s="71"/>
      <c r="PUB7" s="71"/>
      <c r="PUC7" s="71"/>
      <c r="PUD7" s="71"/>
      <c r="PUE7" s="71"/>
      <c r="PUF7" s="71"/>
      <c r="PUG7" s="71"/>
      <c r="PUH7" s="71"/>
      <c r="PUI7" s="71"/>
      <c r="PUJ7" s="71"/>
      <c r="PUK7" s="71"/>
      <c r="PUL7" s="71"/>
      <c r="PUM7" s="71"/>
      <c r="PUN7" s="71"/>
      <c r="PUO7" s="71"/>
      <c r="PUP7" s="71"/>
      <c r="PUQ7" s="71"/>
      <c r="PUR7" s="71"/>
      <c r="PUS7" s="71"/>
      <c r="PUT7" s="71"/>
      <c r="PUU7" s="71"/>
      <c r="PUV7" s="71"/>
      <c r="PUW7" s="71"/>
      <c r="PUX7" s="71"/>
      <c r="PUY7" s="71"/>
      <c r="PUZ7" s="71"/>
      <c r="PVA7" s="71"/>
      <c r="PVB7" s="71"/>
      <c r="PVC7" s="71"/>
      <c r="PVD7" s="71"/>
      <c r="PVE7" s="71"/>
      <c r="PVF7" s="71"/>
      <c r="PVG7" s="71"/>
      <c r="PVH7" s="71"/>
      <c r="PVI7" s="71"/>
      <c r="PVJ7" s="71"/>
      <c r="PVK7" s="71"/>
      <c r="PVL7" s="71"/>
      <c r="PVM7" s="71"/>
      <c r="PVN7" s="71"/>
      <c r="PVO7" s="71"/>
      <c r="PVP7" s="71"/>
      <c r="PVQ7" s="71"/>
      <c r="PVR7" s="71"/>
      <c r="PVS7" s="71"/>
      <c r="PVT7" s="71"/>
      <c r="PVU7" s="71"/>
      <c r="PVV7" s="71"/>
      <c r="PVW7" s="71"/>
      <c r="PVX7" s="71"/>
      <c r="PVY7" s="71"/>
      <c r="PVZ7" s="71"/>
      <c r="PWA7" s="71"/>
      <c r="PWB7" s="71"/>
      <c r="PWC7" s="71"/>
      <c r="PWD7" s="71"/>
      <c r="PWE7" s="71"/>
      <c r="PWF7" s="71"/>
      <c r="PWG7" s="71"/>
      <c r="PWH7" s="71"/>
      <c r="PWI7" s="71"/>
      <c r="PWJ7" s="71"/>
      <c r="PWK7" s="71"/>
      <c r="PWL7" s="71"/>
      <c r="PWM7" s="71"/>
      <c r="PWN7" s="71"/>
      <c r="PWO7" s="71"/>
      <c r="PWP7" s="71"/>
      <c r="PWQ7" s="71"/>
      <c r="PWR7" s="71"/>
      <c r="PWS7" s="71"/>
      <c r="PWT7" s="71"/>
      <c r="PWU7" s="71"/>
      <c r="PWV7" s="71"/>
      <c r="PWW7" s="71"/>
      <c r="PWX7" s="71"/>
      <c r="PWY7" s="71"/>
      <c r="PWZ7" s="71"/>
      <c r="PXA7" s="71"/>
      <c r="PXB7" s="71"/>
      <c r="PXC7" s="71"/>
      <c r="PXD7" s="71"/>
      <c r="PXE7" s="71"/>
      <c r="PXF7" s="71"/>
      <c r="PXG7" s="71"/>
      <c r="PXH7" s="71"/>
      <c r="PXI7" s="71"/>
      <c r="PXJ7" s="71"/>
      <c r="PXK7" s="71"/>
      <c r="PXL7" s="71"/>
      <c r="PXM7" s="71"/>
      <c r="PXN7" s="71"/>
      <c r="PXO7" s="71"/>
      <c r="PXP7" s="71"/>
      <c r="PXQ7" s="71"/>
      <c r="PXR7" s="71"/>
      <c r="PXS7" s="71"/>
      <c r="PXT7" s="71"/>
      <c r="PXU7" s="71"/>
      <c r="PXV7" s="71"/>
      <c r="PXW7" s="71"/>
      <c r="PXX7" s="71"/>
      <c r="PXY7" s="71"/>
      <c r="PXZ7" s="71"/>
      <c r="PYA7" s="71"/>
      <c r="PYB7" s="71"/>
      <c r="PYC7" s="71"/>
      <c r="PYD7" s="71"/>
      <c r="PYE7" s="71"/>
      <c r="PYF7" s="71"/>
      <c r="PYG7" s="71"/>
      <c r="PYH7" s="71"/>
      <c r="PYI7" s="71"/>
      <c r="PYJ7" s="71"/>
      <c r="PYK7" s="71"/>
      <c r="PYL7" s="71"/>
      <c r="PYM7" s="71"/>
      <c r="PYN7" s="71"/>
      <c r="PYO7" s="71"/>
      <c r="PYP7" s="71"/>
      <c r="PYQ7" s="71"/>
      <c r="PYR7" s="71"/>
      <c r="PYS7" s="71"/>
      <c r="PYT7" s="71"/>
      <c r="PYU7" s="71"/>
      <c r="PYV7" s="71"/>
      <c r="PYW7" s="71"/>
      <c r="PYX7" s="71"/>
      <c r="PYY7" s="71"/>
      <c r="PYZ7" s="71"/>
      <c r="PZA7" s="71"/>
      <c r="PZB7" s="71"/>
      <c r="PZC7" s="71"/>
      <c r="PZD7" s="71"/>
      <c r="PZE7" s="71"/>
      <c r="PZF7" s="71"/>
      <c r="PZG7" s="71"/>
      <c r="PZH7" s="71"/>
      <c r="PZI7" s="71"/>
      <c r="PZJ7" s="71"/>
      <c r="PZK7" s="71"/>
      <c r="PZL7" s="71"/>
      <c r="PZM7" s="71"/>
      <c r="PZN7" s="71"/>
      <c r="PZO7" s="71"/>
      <c r="PZP7" s="71"/>
      <c r="PZQ7" s="71"/>
      <c r="PZR7" s="71"/>
      <c r="PZS7" s="71"/>
      <c r="PZT7" s="71"/>
      <c r="PZU7" s="71"/>
      <c r="PZV7" s="71"/>
      <c r="PZW7" s="71"/>
      <c r="PZX7" s="71"/>
      <c r="PZY7" s="71"/>
      <c r="PZZ7" s="71"/>
      <c r="QAA7" s="71"/>
      <c r="QAB7" s="71"/>
      <c r="QAC7" s="71"/>
      <c r="QAD7" s="71"/>
      <c r="QAE7" s="71"/>
      <c r="QAF7" s="71"/>
      <c r="QAG7" s="71"/>
      <c r="QAH7" s="71"/>
      <c r="QAI7" s="71"/>
      <c r="QAJ7" s="71"/>
      <c r="QAK7" s="71"/>
      <c r="QAL7" s="71"/>
      <c r="QAM7" s="71"/>
      <c r="QAN7" s="71"/>
      <c r="QAO7" s="71"/>
      <c r="QAP7" s="71"/>
      <c r="QAQ7" s="71"/>
      <c r="QAR7" s="71"/>
      <c r="QAS7" s="71"/>
      <c r="QAT7" s="71"/>
      <c r="QAU7" s="71"/>
      <c r="QAV7" s="71"/>
      <c r="QAW7" s="71"/>
      <c r="QAX7" s="71"/>
      <c r="QAY7" s="71"/>
      <c r="QAZ7" s="71"/>
      <c r="QBA7" s="71"/>
      <c r="QBB7" s="71"/>
      <c r="QBC7" s="71"/>
      <c r="QBD7" s="71"/>
      <c r="QBE7" s="71"/>
      <c r="QBF7" s="71"/>
      <c r="QBG7" s="71"/>
      <c r="QBH7" s="71"/>
      <c r="QBI7" s="71"/>
      <c r="QBJ7" s="71"/>
      <c r="QBK7" s="71"/>
      <c r="QBL7" s="71"/>
      <c r="QBM7" s="71"/>
      <c r="QBN7" s="71"/>
      <c r="QBO7" s="71"/>
      <c r="QBP7" s="71"/>
      <c r="QBQ7" s="71"/>
      <c r="QBR7" s="71"/>
      <c r="QBS7" s="71"/>
      <c r="QBT7" s="71"/>
      <c r="QBU7" s="71"/>
      <c r="QBV7" s="71"/>
      <c r="QBW7" s="71"/>
      <c r="QBX7" s="71"/>
      <c r="QBY7" s="71"/>
      <c r="QBZ7" s="71"/>
      <c r="QCA7" s="71"/>
      <c r="QCB7" s="71"/>
      <c r="QCC7" s="71"/>
      <c r="QCD7" s="71"/>
      <c r="QCE7" s="71"/>
      <c r="QCF7" s="71"/>
      <c r="QCG7" s="71"/>
      <c r="QCH7" s="71"/>
      <c r="QCI7" s="71"/>
      <c r="QCJ7" s="71"/>
      <c r="QCK7" s="71"/>
      <c r="QCL7" s="71"/>
      <c r="QCM7" s="71"/>
      <c r="QCN7" s="71"/>
      <c r="QCO7" s="71"/>
      <c r="QCP7" s="71"/>
      <c r="QCQ7" s="71"/>
      <c r="QCR7" s="71"/>
      <c r="QCS7" s="71"/>
      <c r="QCT7" s="71"/>
      <c r="QCU7" s="71"/>
      <c r="QCV7" s="71"/>
      <c r="QCW7" s="71"/>
      <c r="QCX7" s="71"/>
      <c r="QCY7" s="71"/>
      <c r="QCZ7" s="71"/>
      <c r="QDA7" s="71"/>
      <c r="QDB7" s="71"/>
      <c r="QDC7" s="71"/>
      <c r="QDD7" s="71"/>
      <c r="QDE7" s="71"/>
      <c r="QDF7" s="71"/>
      <c r="QDG7" s="71"/>
      <c r="QDH7" s="71"/>
      <c r="QDI7" s="71"/>
      <c r="QDJ7" s="71"/>
      <c r="QDK7" s="71"/>
      <c r="QDL7" s="71"/>
      <c r="QDM7" s="71"/>
      <c r="QDN7" s="71"/>
      <c r="QDO7" s="71"/>
      <c r="QDP7" s="71"/>
      <c r="QDQ7" s="71"/>
      <c r="QDR7" s="71"/>
      <c r="QDS7" s="71"/>
      <c r="QDT7" s="71"/>
      <c r="QDU7" s="71"/>
      <c r="QDV7" s="71"/>
      <c r="QDW7" s="71"/>
      <c r="QDX7" s="71"/>
      <c r="QDY7" s="71"/>
      <c r="QDZ7" s="71"/>
      <c r="QEA7" s="71"/>
      <c r="QEB7" s="71"/>
      <c r="QEC7" s="71"/>
      <c r="QED7" s="71"/>
      <c r="QEE7" s="71"/>
      <c r="QEF7" s="71"/>
      <c r="QEG7" s="71"/>
      <c r="QEH7" s="71"/>
      <c r="QEI7" s="71"/>
      <c r="QEJ7" s="71"/>
      <c r="QEK7" s="71"/>
      <c r="QEL7" s="71"/>
      <c r="QEM7" s="71"/>
      <c r="QEN7" s="71"/>
      <c r="QEO7" s="71"/>
      <c r="QEP7" s="71"/>
      <c r="QEQ7" s="71"/>
      <c r="QER7" s="71"/>
      <c r="QES7" s="71"/>
      <c r="QET7" s="71"/>
      <c r="QEU7" s="71"/>
      <c r="QEV7" s="71"/>
      <c r="QEW7" s="71"/>
      <c r="QEX7" s="71"/>
      <c r="QEY7" s="71"/>
      <c r="QEZ7" s="71"/>
      <c r="QFA7" s="71"/>
      <c r="QFB7" s="71"/>
      <c r="QFC7" s="71"/>
      <c r="QFD7" s="71"/>
      <c r="QFE7" s="71"/>
      <c r="QFF7" s="71"/>
      <c r="QFG7" s="71"/>
      <c r="QFH7" s="71"/>
      <c r="QFI7" s="71"/>
      <c r="QFJ7" s="71"/>
      <c r="QFK7" s="71"/>
      <c r="QFL7" s="71"/>
      <c r="QFM7" s="71"/>
      <c r="QFN7" s="71"/>
      <c r="QFO7" s="71"/>
      <c r="QFP7" s="71"/>
      <c r="QFQ7" s="71"/>
      <c r="QFR7" s="71"/>
      <c r="QFS7" s="71"/>
      <c r="QFT7" s="71"/>
      <c r="QFU7" s="71"/>
      <c r="QFV7" s="71"/>
      <c r="QFW7" s="71"/>
      <c r="QFX7" s="71"/>
      <c r="QFY7" s="71"/>
      <c r="QFZ7" s="71"/>
      <c r="QGA7" s="71"/>
      <c r="QGB7" s="71"/>
      <c r="QGC7" s="71"/>
      <c r="QGD7" s="71"/>
      <c r="QGE7" s="71"/>
      <c r="QGF7" s="71"/>
      <c r="QGG7" s="71"/>
      <c r="QGH7" s="71"/>
      <c r="QGI7" s="71"/>
      <c r="QGJ7" s="71"/>
      <c r="QGK7" s="71"/>
      <c r="QGL7" s="71"/>
      <c r="QGM7" s="71"/>
      <c r="QGN7" s="71"/>
      <c r="QGO7" s="71"/>
      <c r="QGP7" s="71"/>
      <c r="QGQ7" s="71"/>
      <c r="QGR7" s="71"/>
      <c r="QGS7" s="71"/>
      <c r="QGT7" s="71"/>
      <c r="QGU7" s="71"/>
      <c r="QGV7" s="71"/>
      <c r="QGW7" s="71"/>
      <c r="QGX7" s="71"/>
      <c r="QGY7" s="71"/>
      <c r="QGZ7" s="71"/>
      <c r="QHA7" s="71"/>
      <c r="QHB7" s="71"/>
      <c r="QHC7" s="71"/>
      <c r="QHD7" s="71"/>
      <c r="QHE7" s="71"/>
      <c r="QHF7" s="71"/>
      <c r="QHG7" s="71"/>
      <c r="QHH7" s="71"/>
      <c r="QHI7" s="71"/>
      <c r="QHJ7" s="71"/>
      <c r="QHK7" s="71"/>
      <c r="QHL7" s="71"/>
      <c r="QHM7" s="71"/>
      <c r="QHN7" s="71"/>
      <c r="QHO7" s="71"/>
      <c r="QHP7" s="71"/>
      <c r="QHQ7" s="71"/>
      <c r="QHR7" s="71"/>
      <c r="QHS7" s="71"/>
      <c r="QHT7" s="71"/>
      <c r="QHU7" s="71"/>
      <c r="QHV7" s="71"/>
      <c r="QHW7" s="71"/>
      <c r="QHX7" s="71"/>
      <c r="QHY7" s="71"/>
      <c r="QHZ7" s="71"/>
      <c r="QIA7" s="71"/>
      <c r="QIB7" s="71"/>
      <c r="QIC7" s="71"/>
      <c r="QID7" s="71"/>
      <c r="QIE7" s="71"/>
      <c r="QIF7" s="71"/>
      <c r="QIG7" s="71"/>
      <c r="QIH7" s="71"/>
      <c r="QII7" s="71"/>
      <c r="QIJ7" s="71"/>
      <c r="QIK7" s="71"/>
      <c r="QIL7" s="71"/>
      <c r="QIM7" s="71"/>
      <c r="QIN7" s="71"/>
      <c r="QIO7" s="71"/>
      <c r="QIP7" s="71"/>
      <c r="QIQ7" s="71"/>
      <c r="QIR7" s="71"/>
      <c r="QIS7" s="71"/>
      <c r="QIT7" s="71"/>
      <c r="QIU7" s="71"/>
      <c r="QIV7" s="71"/>
      <c r="QIW7" s="71"/>
      <c r="QIX7" s="71"/>
      <c r="QIY7" s="71"/>
      <c r="QIZ7" s="71"/>
      <c r="QJA7" s="71"/>
      <c r="QJB7" s="71"/>
      <c r="QJC7" s="71"/>
      <c r="QJD7" s="71"/>
      <c r="QJE7" s="71"/>
      <c r="QJF7" s="71"/>
      <c r="QJG7" s="71"/>
      <c r="QJH7" s="71"/>
      <c r="QJI7" s="71"/>
      <c r="QJJ7" s="71"/>
      <c r="QJK7" s="71"/>
      <c r="QJL7" s="71"/>
      <c r="QJM7" s="71"/>
      <c r="QJN7" s="71"/>
      <c r="QJO7" s="71"/>
      <c r="QJP7" s="71"/>
      <c r="QJQ7" s="71"/>
      <c r="QJR7" s="71"/>
      <c r="QJS7" s="71"/>
      <c r="QJT7" s="71"/>
      <c r="QJU7" s="71"/>
      <c r="QJV7" s="71"/>
      <c r="QJW7" s="71"/>
      <c r="QJX7" s="71"/>
      <c r="QJY7" s="71"/>
      <c r="QJZ7" s="71"/>
      <c r="QKA7" s="71"/>
      <c r="QKB7" s="71"/>
      <c r="QKC7" s="71"/>
      <c r="QKD7" s="71"/>
      <c r="QKE7" s="71"/>
      <c r="QKF7" s="71"/>
      <c r="QKG7" s="71"/>
      <c r="QKH7" s="71"/>
      <c r="QKI7" s="71"/>
      <c r="QKJ7" s="71"/>
      <c r="QKK7" s="71"/>
      <c r="QKL7" s="71"/>
      <c r="QKM7" s="71"/>
      <c r="QKN7" s="71"/>
      <c r="QKO7" s="71"/>
      <c r="QKP7" s="71"/>
      <c r="QKQ7" s="71"/>
      <c r="QKR7" s="71"/>
      <c r="QKS7" s="71"/>
      <c r="QKT7" s="71"/>
      <c r="QKU7" s="71"/>
      <c r="QKV7" s="71"/>
      <c r="QKW7" s="71"/>
      <c r="QKX7" s="71"/>
      <c r="QKY7" s="71"/>
      <c r="QKZ7" s="71"/>
      <c r="QLA7" s="71"/>
      <c r="QLB7" s="71"/>
      <c r="QLC7" s="71"/>
      <c r="QLD7" s="71"/>
      <c r="QLE7" s="71"/>
      <c r="QLF7" s="71"/>
      <c r="QLG7" s="71"/>
      <c r="QLH7" s="71"/>
      <c r="QLI7" s="71"/>
      <c r="QLJ7" s="71"/>
      <c r="QLK7" s="71"/>
      <c r="QLL7" s="71"/>
      <c r="QLM7" s="71"/>
      <c r="QLN7" s="71"/>
      <c r="QLO7" s="71"/>
      <c r="QLP7" s="71"/>
      <c r="QLQ7" s="71"/>
      <c r="QLR7" s="71"/>
      <c r="QLS7" s="71"/>
      <c r="QLT7" s="71"/>
      <c r="QLU7" s="71"/>
      <c r="QLV7" s="71"/>
      <c r="QLW7" s="71"/>
      <c r="QLX7" s="71"/>
      <c r="QLY7" s="71"/>
      <c r="QLZ7" s="71"/>
      <c r="QMA7" s="71"/>
      <c r="QMB7" s="71"/>
      <c r="QMC7" s="71"/>
      <c r="QMD7" s="71"/>
      <c r="QME7" s="71"/>
      <c r="QMF7" s="71"/>
      <c r="QMG7" s="71"/>
      <c r="QMH7" s="71"/>
      <c r="QMI7" s="71"/>
      <c r="QMJ7" s="71"/>
      <c r="QMK7" s="71"/>
      <c r="QML7" s="71"/>
      <c r="QMM7" s="71"/>
      <c r="QMN7" s="71"/>
      <c r="QMO7" s="71"/>
      <c r="QMP7" s="71"/>
      <c r="QMQ7" s="71"/>
      <c r="QMR7" s="71"/>
      <c r="QMS7" s="71"/>
      <c r="QMT7" s="71"/>
      <c r="QMU7" s="71"/>
      <c r="QMV7" s="71"/>
      <c r="QMW7" s="71"/>
      <c r="QMX7" s="71"/>
      <c r="QMY7" s="71"/>
      <c r="QMZ7" s="71"/>
      <c r="QNA7" s="71"/>
      <c r="QNB7" s="71"/>
      <c r="QNC7" s="71"/>
      <c r="QND7" s="71"/>
      <c r="QNE7" s="71"/>
      <c r="QNF7" s="71"/>
      <c r="QNG7" s="71"/>
      <c r="QNH7" s="71"/>
      <c r="QNI7" s="71"/>
      <c r="QNJ7" s="71"/>
      <c r="QNK7" s="71"/>
      <c r="QNL7" s="71"/>
      <c r="QNM7" s="71"/>
      <c r="QNN7" s="71"/>
      <c r="QNO7" s="71"/>
      <c r="QNP7" s="71"/>
      <c r="QNQ7" s="71"/>
      <c r="QNR7" s="71"/>
      <c r="QNS7" s="71"/>
      <c r="QNT7" s="71"/>
      <c r="QNU7" s="71"/>
      <c r="QNV7" s="71"/>
      <c r="QNW7" s="71"/>
      <c r="QNX7" s="71"/>
      <c r="QNY7" s="71"/>
      <c r="QNZ7" s="71"/>
      <c r="QOA7" s="71"/>
      <c r="QOB7" s="71"/>
      <c r="QOC7" s="71"/>
      <c r="QOD7" s="71"/>
      <c r="QOE7" s="71"/>
      <c r="QOF7" s="71"/>
      <c r="QOG7" s="71"/>
      <c r="QOH7" s="71"/>
      <c r="QOI7" s="71"/>
      <c r="QOJ7" s="71"/>
      <c r="QOK7" s="71"/>
      <c r="QOL7" s="71"/>
      <c r="QOM7" s="71"/>
      <c r="QON7" s="71"/>
      <c r="QOO7" s="71"/>
      <c r="QOP7" s="71"/>
      <c r="QOQ7" s="71"/>
      <c r="QOR7" s="71"/>
      <c r="QOS7" s="71"/>
      <c r="QOT7" s="71"/>
      <c r="QOU7" s="71"/>
      <c r="QOV7" s="71"/>
      <c r="QOW7" s="71"/>
      <c r="QOX7" s="71"/>
      <c r="QOY7" s="71"/>
      <c r="QOZ7" s="71"/>
      <c r="QPA7" s="71"/>
      <c r="QPB7" s="71"/>
      <c r="QPC7" s="71"/>
      <c r="QPD7" s="71"/>
      <c r="QPE7" s="71"/>
      <c r="QPF7" s="71"/>
      <c r="QPG7" s="71"/>
      <c r="QPH7" s="71"/>
      <c r="QPI7" s="71"/>
      <c r="QPJ7" s="71"/>
      <c r="QPK7" s="71"/>
      <c r="QPL7" s="71"/>
      <c r="QPM7" s="71"/>
      <c r="QPN7" s="71"/>
      <c r="QPO7" s="71"/>
      <c r="QPP7" s="71"/>
      <c r="QPQ7" s="71"/>
      <c r="QPR7" s="71"/>
      <c r="QPS7" s="71"/>
      <c r="QPT7" s="71"/>
      <c r="QPU7" s="71"/>
      <c r="QPV7" s="71"/>
      <c r="QPW7" s="71"/>
      <c r="QPX7" s="71"/>
      <c r="QPY7" s="71"/>
      <c r="QPZ7" s="71"/>
      <c r="QQA7" s="71"/>
      <c r="QQB7" s="71"/>
      <c r="QQC7" s="71"/>
      <c r="QQD7" s="71"/>
      <c r="QQE7" s="71"/>
      <c r="QQF7" s="71"/>
      <c r="QQG7" s="71"/>
      <c r="QQH7" s="71"/>
      <c r="QQI7" s="71"/>
      <c r="QQJ7" s="71"/>
      <c r="QQK7" s="71"/>
      <c r="QQL7" s="71"/>
      <c r="QQM7" s="71"/>
      <c r="QQN7" s="71"/>
      <c r="QQO7" s="71"/>
      <c r="QQP7" s="71"/>
      <c r="QQQ7" s="71"/>
      <c r="QQR7" s="71"/>
      <c r="QQS7" s="71"/>
      <c r="QQT7" s="71"/>
      <c r="QQU7" s="71"/>
      <c r="QQV7" s="71"/>
      <c r="QQW7" s="71"/>
      <c r="QQX7" s="71"/>
      <c r="QQY7" s="71"/>
      <c r="QQZ7" s="71"/>
      <c r="QRA7" s="71"/>
      <c r="QRB7" s="71"/>
      <c r="QRC7" s="71"/>
      <c r="QRD7" s="71"/>
      <c r="QRE7" s="71"/>
      <c r="QRF7" s="71"/>
      <c r="QRG7" s="71"/>
      <c r="QRH7" s="71"/>
      <c r="QRI7" s="71"/>
      <c r="QRJ7" s="71"/>
      <c r="QRK7" s="71"/>
      <c r="QRL7" s="71"/>
      <c r="QRM7" s="71"/>
      <c r="QRN7" s="71"/>
      <c r="QRO7" s="71"/>
      <c r="QRP7" s="71"/>
      <c r="QRQ7" s="71"/>
      <c r="QRR7" s="71"/>
      <c r="QRS7" s="71"/>
      <c r="QRT7" s="71"/>
      <c r="QRU7" s="71"/>
      <c r="QRV7" s="71"/>
      <c r="QRW7" s="71"/>
      <c r="QRX7" s="71"/>
      <c r="QRY7" s="71"/>
      <c r="QRZ7" s="71"/>
      <c r="QSA7" s="71"/>
      <c r="QSB7" s="71"/>
      <c r="QSC7" s="71"/>
      <c r="QSD7" s="71"/>
      <c r="QSE7" s="71"/>
      <c r="QSF7" s="71"/>
      <c r="QSG7" s="71"/>
      <c r="QSH7" s="71"/>
      <c r="QSI7" s="71"/>
      <c r="QSJ7" s="71"/>
      <c r="QSK7" s="71"/>
      <c r="QSL7" s="71"/>
      <c r="QSM7" s="71"/>
      <c r="QSN7" s="71"/>
      <c r="QSO7" s="71"/>
      <c r="QSP7" s="71"/>
      <c r="QSQ7" s="71"/>
      <c r="QSR7" s="71"/>
      <c r="QSS7" s="71"/>
      <c r="QST7" s="71"/>
      <c r="QSU7" s="71"/>
      <c r="QSV7" s="71"/>
      <c r="QSW7" s="71"/>
      <c r="QSX7" s="71"/>
      <c r="QSY7" s="71"/>
      <c r="QSZ7" s="71"/>
      <c r="QTA7" s="71"/>
      <c r="QTB7" s="71"/>
      <c r="QTC7" s="71"/>
      <c r="QTD7" s="71"/>
      <c r="QTE7" s="71"/>
      <c r="QTF7" s="71"/>
      <c r="QTG7" s="71"/>
      <c r="QTH7" s="71"/>
      <c r="QTI7" s="71"/>
      <c r="QTJ7" s="71"/>
      <c r="QTK7" s="71"/>
      <c r="QTL7" s="71"/>
      <c r="QTM7" s="71"/>
      <c r="QTN7" s="71"/>
      <c r="QTO7" s="71"/>
      <c r="QTP7" s="71"/>
      <c r="QTQ7" s="71"/>
      <c r="QTR7" s="71"/>
      <c r="QTS7" s="71"/>
      <c r="QTT7" s="71"/>
      <c r="QTU7" s="71"/>
      <c r="QTV7" s="71"/>
      <c r="QTW7" s="71"/>
      <c r="QTX7" s="71"/>
      <c r="QTY7" s="71"/>
      <c r="QTZ7" s="71"/>
      <c r="QUA7" s="71"/>
      <c r="QUB7" s="71"/>
      <c r="QUC7" s="71"/>
      <c r="QUD7" s="71"/>
      <c r="QUE7" s="71"/>
      <c r="QUF7" s="71"/>
      <c r="QUG7" s="71"/>
      <c r="QUH7" s="71"/>
      <c r="QUI7" s="71"/>
      <c r="QUJ7" s="71"/>
      <c r="QUK7" s="71"/>
      <c r="QUL7" s="71"/>
      <c r="QUM7" s="71"/>
      <c r="QUN7" s="71"/>
      <c r="QUO7" s="71"/>
      <c r="QUP7" s="71"/>
      <c r="QUQ7" s="71"/>
      <c r="QUR7" s="71"/>
      <c r="QUS7" s="71"/>
      <c r="QUT7" s="71"/>
      <c r="QUU7" s="71"/>
      <c r="QUV7" s="71"/>
      <c r="QUW7" s="71"/>
      <c r="QUX7" s="71"/>
      <c r="QUY7" s="71"/>
      <c r="QUZ7" s="71"/>
      <c r="QVA7" s="71"/>
      <c r="QVB7" s="71"/>
      <c r="QVC7" s="71"/>
      <c r="QVD7" s="71"/>
      <c r="QVE7" s="71"/>
      <c r="QVF7" s="71"/>
      <c r="QVG7" s="71"/>
      <c r="QVH7" s="71"/>
      <c r="QVI7" s="71"/>
      <c r="QVJ7" s="71"/>
      <c r="QVK7" s="71"/>
      <c r="QVL7" s="71"/>
      <c r="QVM7" s="71"/>
      <c r="QVN7" s="71"/>
      <c r="QVO7" s="71"/>
      <c r="QVP7" s="71"/>
      <c r="QVQ7" s="71"/>
      <c r="QVR7" s="71"/>
      <c r="QVS7" s="71"/>
      <c r="QVT7" s="71"/>
      <c r="QVU7" s="71"/>
      <c r="QVV7" s="71"/>
      <c r="QVW7" s="71"/>
      <c r="QVX7" s="71"/>
      <c r="QVY7" s="71"/>
      <c r="QVZ7" s="71"/>
      <c r="QWA7" s="71"/>
      <c r="QWB7" s="71"/>
      <c r="QWC7" s="71"/>
      <c r="QWD7" s="71"/>
      <c r="QWE7" s="71"/>
      <c r="QWF7" s="71"/>
      <c r="QWG7" s="71"/>
      <c r="QWH7" s="71"/>
      <c r="QWI7" s="71"/>
      <c r="QWJ7" s="71"/>
      <c r="QWK7" s="71"/>
      <c r="QWL7" s="71"/>
      <c r="QWM7" s="71"/>
      <c r="QWN7" s="71"/>
      <c r="QWO7" s="71"/>
      <c r="QWP7" s="71"/>
      <c r="QWQ7" s="71"/>
      <c r="QWR7" s="71"/>
      <c r="QWS7" s="71"/>
      <c r="QWT7" s="71"/>
      <c r="QWU7" s="71"/>
      <c r="QWV7" s="71"/>
      <c r="QWW7" s="71"/>
      <c r="QWX7" s="71"/>
      <c r="QWY7" s="71"/>
      <c r="QWZ7" s="71"/>
      <c r="QXA7" s="71"/>
      <c r="QXB7" s="71"/>
      <c r="QXC7" s="71"/>
      <c r="QXD7" s="71"/>
      <c r="QXE7" s="71"/>
      <c r="QXF7" s="71"/>
      <c r="QXG7" s="71"/>
      <c r="QXH7" s="71"/>
      <c r="QXI7" s="71"/>
      <c r="QXJ7" s="71"/>
      <c r="QXK7" s="71"/>
      <c r="QXL7" s="71"/>
      <c r="QXM7" s="71"/>
      <c r="QXN7" s="71"/>
      <c r="QXO7" s="71"/>
      <c r="QXP7" s="71"/>
      <c r="QXQ7" s="71"/>
      <c r="QXR7" s="71"/>
      <c r="QXS7" s="71"/>
      <c r="QXT7" s="71"/>
      <c r="QXU7" s="71"/>
      <c r="QXV7" s="71"/>
      <c r="QXW7" s="71"/>
      <c r="QXX7" s="71"/>
      <c r="QXY7" s="71"/>
      <c r="QXZ7" s="71"/>
      <c r="QYA7" s="71"/>
      <c r="QYB7" s="71"/>
      <c r="QYC7" s="71"/>
      <c r="QYD7" s="71"/>
      <c r="QYE7" s="71"/>
      <c r="QYF7" s="71"/>
      <c r="QYG7" s="71"/>
      <c r="QYH7" s="71"/>
      <c r="QYI7" s="71"/>
      <c r="QYJ7" s="71"/>
      <c r="QYK7" s="71"/>
      <c r="QYL7" s="71"/>
      <c r="QYM7" s="71"/>
      <c r="QYN7" s="71"/>
      <c r="QYO7" s="71"/>
      <c r="QYP7" s="71"/>
      <c r="QYQ7" s="71"/>
      <c r="QYR7" s="71"/>
      <c r="QYS7" s="71"/>
      <c r="QYT7" s="71"/>
      <c r="QYU7" s="71"/>
      <c r="QYV7" s="71"/>
      <c r="QYW7" s="71"/>
      <c r="QYX7" s="71"/>
      <c r="QYY7" s="71"/>
      <c r="QYZ7" s="71"/>
      <c r="QZA7" s="71"/>
      <c r="QZB7" s="71"/>
      <c r="QZC7" s="71"/>
      <c r="QZD7" s="71"/>
      <c r="QZE7" s="71"/>
      <c r="QZF7" s="71"/>
      <c r="QZG7" s="71"/>
      <c r="QZH7" s="71"/>
      <c r="QZI7" s="71"/>
      <c r="QZJ7" s="71"/>
      <c r="QZK7" s="71"/>
      <c r="QZL7" s="71"/>
      <c r="QZM7" s="71"/>
      <c r="QZN7" s="71"/>
      <c r="QZO7" s="71"/>
      <c r="QZP7" s="71"/>
      <c r="QZQ7" s="71"/>
      <c r="QZR7" s="71"/>
      <c r="QZS7" s="71"/>
      <c r="QZT7" s="71"/>
      <c r="QZU7" s="71"/>
      <c r="QZV7" s="71"/>
      <c r="QZW7" s="71"/>
      <c r="QZX7" s="71"/>
      <c r="QZY7" s="71"/>
      <c r="QZZ7" s="71"/>
      <c r="RAA7" s="71"/>
      <c r="RAB7" s="71"/>
      <c r="RAC7" s="71"/>
      <c r="RAD7" s="71"/>
      <c r="RAE7" s="71"/>
      <c r="RAF7" s="71"/>
      <c r="RAG7" s="71"/>
      <c r="RAH7" s="71"/>
      <c r="RAI7" s="71"/>
      <c r="RAJ7" s="71"/>
      <c r="RAK7" s="71"/>
      <c r="RAL7" s="71"/>
      <c r="RAM7" s="71"/>
      <c r="RAN7" s="71"/>
      <c r="RAO7" s="71"/>
      <c r="RAP7" s="71"/>
      <c r="RAQ7" s="71"/>
      <c r="RAR7" s="71"/>
      <c r="RAS7" s="71"/>
      <c r="RAT7" s="71"/>
      <c r="RAU7" s="71"/>
      <c r="RAV7" s="71"/>
      <c r="RAW7" s="71"/>
      <c r="RAX7" s="71"/>
      <c r="RAY7" s="71"/>
      <c r="RAZ7" s="71"/>
      <c r="RBA7" s="71"/>
      <c r="RBB7" s="71"/>
      <c r="RBC7" s="71"/>
      <c r="RBD7" s="71"/>
      <c r="RBE7" s="71"/>
      <c r="RBF7" s="71"/>
      <c r="RBG7" s="71"/>
      <c r="RBH7" s="71"/>
      <c r="RBI7" s="71"/>
      <c r="RBJ7" s="71"/>
      <c r="RBK7" s="71"/>
      <c r="RBL7" s="71"/>
      <c r="RBM7" s="71"/>
      <c r="RBN7" s="71"/>
      <c r="RBO7" s="71"/>
      <c r="RBP7" s="71"/>
      <c r="RBQ7" s="71"/>
      <c r="RBR7" s="71"/>
      <c r="RBS7" s="71"/>
      <c r="RBT7" s="71"/>
      <c r="RBU7" s="71"/>
      <c r="RBV7" s="71"/>
      <c r="RBW7" s="71"/>
      <c r="RBX7" s="71"/>
      <c r="RBY7" s="71"/>
      <c r="RBZ7" s="71"/>
      <c r="RCA7" s="71"/>
      <c r="RCB7" s="71"/>
      <c r="RCC7" s="71"/>
      <c r="RCD7" s="71"/>
      <c r="RCE7" s="71"/>
      <c r="RCF7" s="71"/>
      <c r="RCG7" s="71"/>
      <c r="RCH7" s="71"/>
      <c r="RCI7" s="71"/>
      <c r="RCJ7" s="71"/>
      <c r="RCK7" s="71"/>
      <c r="RCL7" s="71"/>
      <c r="RCM7" s="71"/>
      <c r="RCN7" s="71"/>
      <c r="RCO7" s="71"/>
      <c r="RCP7" s="71"/>
      <c r="RCQ7" s="71"/>
      <c r="RCR7" s="71"/>
      <c r="RCS7" s="71"/>
      <c r="RCT7" s="71"/>
      <c r="RCU7" s="71"/>
      <c r="RCV7" s="71"/>
      <c r="RCW7" s="71"/>
      <c r="RCX7" s="71"/>
      <c r="RCY7" s="71"/>
      <c r="RCZ7" s="71"/>
      <c r="RDA7" s="71"/>
      <c r="RDB7" s="71"/>
      <c r="RDC7" s="71"/>
      <c r="RDD7" s="71"/>
      <c r="RDE7" s="71"/>
      <c r="RDF7" s="71"/>
      <c r="RDG7" s="71"/>
      <c r="RDH7" s="71"/>
      <c r="RDI7" s="71"/>
      <c r="RDJ7" s="71"/>
      <c r="RDK7" s="71"/>
      <c r="RDL7" s="71"/>
      <c r="RDM7" s="71"/>
      <c r="RDN7" s="71"/>
      <c r="RDO7" s="71"/>
      <c r="RDP7" s="71"/>
      <c r="RDQ7" s="71"/>
      <c r="RDR7" s="71"/>
      <c r="RDS7" s="71"/>
      <c r="RDT7" s="71"/>
      <c r="RDU7" s="71"/>
      <c r="RDV7" s="71"/>
      <c r="RDW7" s="71"/>
      <c r="RDX7" s="71"/>
      <c r="RDY7" s="71"/>
      <c r="RDZ7" s="71"/>
      <c r="REA7" s="71"/>
      <c r="REB7" s="71"/>
      <c r="REC7" s="71"/>
      <c r="RED7" s="71"/>
      <c r="REE7" s="71"/>
      <c r="REF7" s="71"/>
      <c r="REG7" s="71"/>
      <c r="REH7" s="71"/>
      <c r="REI7" s="71"/>
      <c r="REJ7" s="71"/>
      <c r="REK7" s="71"/>
      <c r="REL7" s="71"/>
      <c r="REM7" s="71"/>
      <c r="REN7" s="71"/>
      <c r="REO7" s="71"/>
      <c r="REP7" s="71"/>
      <c r="REQ7" s="71"/>
      <c r="RER7" s="71"/>
      <c r="RES7" s="71"/>
      <c r="RET7" s="71"/>
      <c r="REU7" s="71"/>
      <c r="REV7" s="71"/>
      <c r="REW7" s="71"/>
      <c r="REX7" s="71"/>
      <c r="REY7" s="71"/>
      <c r="REZ7" s="71"/>
      <c r="RFA7" s="71"/>
      <c r="RFB7" s="71"/>
      <c r="RFC7" s="71"/>
      <c r="RFD7" s="71"/>
      <c r="RFE7" s="71"/>
      <c r="RFF7" s="71"/>
      <c r="RFG7" s="71"/>
      <c r="RFH7" s="71"/>
      <c r="RFI7" s="71"/>
      <c r="RFJ7" s="71"/>
      <c r="RFK7" s="71"/>
      <c r="RFL7" s="71"/>
      <c r="RFM7" s="71"/>
      <c r="RFN7" s="71"/>
      <c r="RFO7" s="71"/>
      <c r="RFP7" s="71"/>
      <c r="RFQ7" s="71"/>
      <c r="RFR7" s="71"/>
      <c r="RFS7" s="71"/>
      <c r="RFT7" s="71"/>
      <c r="RFU7" s="71"/>
      <c r="RFV7" s="71"/>
      <c r="RFW7" s="71"/>
      <c r="RFX7" s="71"/>
      <c r="RFY7" s="71"/>
      <c r="RFZ7" s="71"/>
      <c r="RGA7" s="71"/>
      <c r="RGB7" s="71"/>
      <c r="RGC7" s="71"/>
      <c r="RGD7" s="71"/>
      <c r="RGE7" s="71"/>
      <c r="RGF7" s="71"/>
      <c r="RGG7" s="71"/>
      <c r="RGH7" s="71"/>
      <c r="RGI7" s="71"/>
      <c r="RGJ7" s="71"/>
      <c r="RGK7" s="71"/>
      <c r="RGL7" s="71"/>
      <c r="RGM7" s="71"/>
      <c r="RGN7" s="71"/>
      <c r="RGO7" s="71"/>
      <c r="RGP7" s="71"/>
      <c r="RGQ7" s="71"/>
      <c r="RGR7" s="71"/>
      <c r="RGS7" s="71"/>
      <c r="RGT7" s="71"/>
      <c r="RGU7" s="71"/>
      <c r="RGV7" s="71"/>
      <c r="RGW7" s="71"/>
      <c r="RGX7" s="71"/>
      <c r="RGY7" s="71"/>
      <c r="RGZ7" s="71"/>
      <c r="RHA7" s="71"/>
      <c r="RHB7" s="71"/>
      <c r="RHC7" s="71"/>
      <c r="RHD7" s="71"/>
      <c r="RHE7" s="71"/>
      <c r="RHF7" s="71"/>
      <c r="RHG7" s="71"/>
      <c r="RHH7" s="71"/>
      <c r="RHI7" s="71"/>
      <c r="RHJ7" s="71"/>
      <c r="RHK7" s="71"/>
      <c r="RHL7" s="71"/>
      <c r="RHM7" s="71"/>
      <c r="RHN7" s="71"/>
      <c r="RHO7" s="71"/>
      <c r="RHP7" s="71"/>
      <c r="RHQ7" s="71"/>
      <c r="RHR7" s="71"/>
      <c r="RHS7" s="71"/>
      <c r="RHT7" s="71"/>
      <c r="RHU7" s="71"/>
      <c r="RHV7" s="71"/>
      <c r="RHW7" s="71"/>
      <c r="RHX7" s="71"/>
      <c r="RHY7" s="71"/>
      <c r="RHZ7" s="71"/>
      <c r="RIA7" s="71"/>
      <c r="RIB7" s="71"/>
      <c r="RIC7" s="71"/>
      <c r="RID7" s="71"/>
      <c r="RIE7" s="71"/>
      <c r="RIF7" s="71"/>
      <c r="RIG7" s="71"/>
      <c r="RIH7" s="71"/>
      <c r="RII7" s="71"/>
      <c r="RIJ7" s="71"/>
      <c r="RIK7" s="71"/>
      <c r="RIL7" s="71"/>
      <c r="RIM7" s="71"/>
      <c r="RIN7" s="71"/>
      <c r="RIO7" s="71"/>
      <c r="RIP7" s="71"/>
      <c r="RIQ7" s="71"/>
      <c r="RIR7" s="71"/>
      <c r="RIS7" s="71"/>
      <c r="RIT7" s="71"/>
      <c r="RIU7" s="71"/>
      <c r="RIV7" s="71"/>
      <c r="RIW7" s="71"/>
      <c r="RIX7" s="71"/>
      <c r="RIY7" s="71"/>
      <c r="RIZ7" s="71"/>
      <c r="RJA7" s="71"/>
      <c r="RJB7" s="71"/>
      <c r="RJC7" s="71"/>
      <c r="RJD7" s="71"/>
      <c r="RJE7" s="71"/>
      <c r="RJF7" s="71"/>
      <c r="RJG7" s="71"/>
      <c r="RJH7" s="71"/>
      <c r="RJI7" s="71"/>
      <c r="RJJ7" s="71"/>
      <c r="RJK7" s="71"/>
      <c r="RJL7" s="71"/>
      <c r="RJM7" s="71"/>
      <c r="RJN7" s="71"/>
      <c r="RJO7" s="71"/>
      <c r="RJP7" s="71"/>
      <c r="RJQ7" s="71"/>
      <c r="RJR7" s="71"/>
      <c r="RJS7" s="71"/>
      <c r="RJT7" s="71"/>
      <c r="RJU7" s="71"/>
      <c r="RJV7" s="71"/>
      <c r="RJW7" s="71"/>
      <c r="RJX7" s="71"/>
      <c r="RJY7" s="71"/>
      <c r="RJZ7" s="71"/>
      <c r="RKA7" s="71"/>
      <c r="RKB7" s="71"/>
      <c r="RKC7" s="71"/>
      <c r="RKD7" s="71"/>
      <c r="RKE7" s="71"/>
      <c r="RKF7" s="71"/>
      <c r="RKG7" s="71"/>
      <c r="RKH7" s="71"/>
      <c r="RKI7" s="71"/>
      <c r="RKJ7" s="71"/>
      <c r="RKK7" s="71"/>
      <c r="RKL7" s="71"/>
      <c r="RKM7" s="71"/>
      <c r="RKN7" s="71"/>
      <c r="RKO7" s="71"/>
      <c r="RKP7" s="71"/>
      <c r="RKQ7" s="71"/>
      <c r="RKR7" s="71"/>
      <c r="RKS7" s="71"/>
      <c r="RKT7" s="71"/>
      <c r="RKU7" s="71"/>
      <c r="RKV7" s="71"/>
      <c r="RKW7" s="71"/>
      <c r="RKX7" s="71"/>
      <c r="RKY7" s="71"/>
      <c r="RKZ7" s="71"/>
      <c r="RLA7" s="71"/>
      <c r="RLB7" s="71"/>
      <c r="RLC7" s="71"/>
      <c r="RLD7" s="71"/>
      <c r="RLE7" s="71"/>
      <c r="RLF7" s="71"/>
      <c r="RLG7" s="71"/>
      <c r="RLH7" s="71"/>
      <c r="RLI7" s="71"/>
      <c r="RLJ7" s="71"/>
      <c r="RLK7" s="71"/>
      <c r="RLL7" s="71"/>
      <c r="RLM7" s="71"/>
      <c r="RLN7" s="71"/>
      <c r="RLO7" s="71"/>
      <c r="RLP7" s="71"/>
      <c r="RLQ7" s="71"/>
      <c r="RLR7" s="71"/>
      <c r="RLS7" s="71"/>
      <c r="RLT7" s="71"/>
      <c r="RLU7" s="71"/>
      <c r="RLV7" s="71"/>
      <c r="RLW7" s="71"/>
      <c r="RLX7" s="71"/>
      <c r="RLY7" s="71"/>
      <c r="RLZ7" s="71"/>
      <c r="RMA7" s="71"/>
      <c r="RMB7" s="71"/>
      <c r="RMC7" s="71"/>
      <c r="RMD7" s="71"/>
      <c r="RME7" s="71"/>
      <c r="RMF7" s="71"/>
      <c r="RMG7" s="71"/>
      <c r="RMH7" s="71"/>
      <c r="RMI7" s="71"/>
      <c r="RMJ7" s="71"/>
      <c r="RMK7" s="71"/>
      <c r="RML7" s="71"/>
      <c r="RMM7" s="71"/>
      <c r="RMN7" s="71"/>
      <c r="RMO7" s="71"/>
      <c r="RMP7" s="71"/>
      <c r="RMQ7" s="71"/>
      <c r="RMR7" s="71"/>
      <c r="RMS7" s="71"/>
      <c r="RMT7" s="71"/>
      <c r="RMU7" s="71"/>
      <c r="RMV7" s="71"/>
      <c r="RMW7" s="71"/>
      <c r="RMX7" s="71"/>
      <c r="RMY7" s="71"/>
      <c r="RMZ7" s="71"/>
      <c r="RNA7" s="71"/>
      <c r="RNB7" s="71"/>
      <c r="RNC7" s="71"/>
      <c r="RND7" s="71"/>
      <c r="RNE7" s="71"/>
      <c r="RNF7" s="71"/>
      <c r="RNG7" s="71"/>
      <c r="RNH7" s="71"/>
      <c r="RNI7" s="71"/>
      <c r="RNJ7" s="71"/>
      <c r="RNK7" s="71"/>
      <c r="RNL7" s="71"/>
      <c r="RNM7" s="71"/>
      <c r="RNN7" s="71"/>
      <c r="RNO7" s="71"/>
      <c r="RNP7" s="71"/>
      <c r="RNQ7" s="71"/>
      <c r="RNR7" s="71"/>
      <c r="RNS7" s="71"/>
      <c r="RNT7" s="71"/>
      <c r="RNU7" s="71"/>
      <c r="RNV7" s="71"/>
      <c r="RNW7" s="71"/>
      <c r="RNX7" s="71"/>
      <c r="RNY7" s="71"/>
      <c r="RNZ7" s="71"/>
      <c r="ROA7" s="71"/>
      <c r="ROB7" s="71"/>
      <c r="ROC7" s="71"/>
      <c r="ROD7" s="71"/>
      <c r="ROE7" s="71"/>
      <c r="ROF7" s="71"/>
      <c r="ROG7" s="71"/>
      <c r="ROH7" s="71"/>
      <c r="ROI7" s="71"/>
      <c r="ROJ7" s="71"/>
      <c r="ROK7" s="71"/>
      <c r="ROL7" s="71"/>
      <c r="ROM7" s="71"/>
      <c r="RON7" s="71"/>
      <c r="ROO7" s="71"/>
      <c r="ROP7" s="71"/>
      <c r="ROQ7" s="71"/>
      <c r="ROR7" s="71"/>
      <c r="ROS7" s="71"/>
      <c r="ROT7" s="71"/>
      <c r="ROU7" s="71"/>
      <c r="ROV7" s="71"/>
      <c r="ROW7" s="71"/>
      <c r="ROX7" s="71"/>
      <c r="ROY7" s="71"/>
      <c r="ROZ7" s="71"/>
      <c r="RPA7" s="71"/>
      <c r="RPB7" s="71"/>
      <c r="RPC7" s="71"/>
      <c r="RPD7" s="71"/>
      <c r="RPE7" s="71"/>
      <c r="RPF7" s="71"/>
      <c r="RPG7" s="71"/>
      <c r="RPH7" s="71"/>
      <c r="RPI7" s="71"/>
      <c r="RPJ7" s="71"/>
      <c r="RPK7" s="71"/>
      <c r="RPL7" s="71"/>
      <c r="RPM7" s="71"/>
      <c r="RPN7" s="71"/>
      <c r="RPO7" s="71"/>
      <c r="RPP7" s="71"/>
      <c r="RPQ7" s="71"/>
      <c r="RPR7" s="71"/>
      <c r="RPS7" s="71"/>
      <c r="RPT7" s="71"/>
      <c r="RPU7" s="71"/>
      <c r="RPV7" s="71"/>
      <c r="RPW7" s="71"/>
      <c r="RPX7" s="71"/>
      <c r="RPY7" s="71"/>
      <c r="RPZ7" s="71"/>
      <c r="RQA7" s="71"/>
      <c r="RQB7" s="71"/>
      <c r="RQC7" s="71"/>
      <c r="RQD7" s="71"/>
      <c r="RQE7" s="71"/>
      <c r="RQF7" s="71"/>
      <c r="RQG7" s="71"/>
      <c r="RQH7" s="71"/>
      <c r="RQI7" s="71"/>
      <c r="RQJ7" s="71"/>
      <c r="RQK7" s="71"/>
      <c r="RQL7" s="71"/>
      <c r="RQM7" s="71"/>
      <c r="RQN7" s="71"/>
      <c r="RQO7" s="71"/>
      <c r="RQP7" s="71"/>
      <c r="RQQ7" s="71"/>
      <c r="RQR7" s="71"/>
      <c r="RQS7" s="71"/>
      <c r="RQT7" s="71"/>
      <c r="RQU7" s="71"/>
      <c r="RQV7" s="71"/>
      <c r="RQW7" s="71"/>
      <c r="RQX7" s="71"/>
      <c r="RQY7" s="71"/>
      <c r="RQZ7" s="71"/>
      <c r="RRA7" s="71"/>
      <c r="RRB7" s="71"/>
      <c r="RRC7" s="71"/>
      <c r="RRD7" s="71"/>
      <c r="RRE7" s="71"/>
      <c r="RRF7" s="71"/>
      <c r="RRG7" s="71"/>
      <c r="RRH7" s="71"/>
      <c r="RRI7" s="71"/>
      <c r="RRJ7" s="71"/>
      <c r="RRK7" s="71"/>
      <c r="RRL7" s="71"/>
      <c r="RRM7" s="71"/>
      <c r="RRN7" s="71"/>
      <c r="RRO7" s="71"/>
      <c r="RRP7" s="71"/>
      <c r="RRQ7" s="71"/>
      <c r="RRR7" s="71"/>
      <c r="RRS7" s="71"/>
      <c r="RRT7" s="71"/>
      <c r="RRU7" s="71"/>
      <c r="RRV7" s="71"/>
      <c r="RRW7" s="71"/>
      <c r="RRX7" s="71"/>
      <c r="RRY7" s="71"/>
      <c r="RRZ7" s="71"/>
      <c r="RSA7" s="71"/>
      <c r="RSB7" s="71"/>
      <c r="RSC7" s="71"/>
      <c r="RSD7" s="71"/>
      <c r="RSE7" s="71"/>
      <c r="RSF7" s="71"/>
      <c r="RSG7" s="71"/>
      <c r="RSH7" s="71"/>
      <c r="RSI7" s="71"/>
      <c r="RSJ7" s="71"/>
      <c r="RSK7" s="71"/>
      <c r="RSL7" s="71"/>
      <c r="RSM7" s="71"/>
      <c r="RSN7" s="71"/>
      <c r="RSO7" s="71"/>
      <c r="RSP7" s="71"/>
      <c r="RSQ7" s="71"/>
      <c r="RSR7" s="71"/>
      <c r="RSS7" s="71"/>
      <c r="RST7" s="71"/>
      <c r="RSU7" s="71"/>
      <c r="RSV7" s="71"/>
      <c r="RSW7" s="71"/>
      <c r="RSX7" s="71"/>
      <c r="RSY7" s="71"/>
      <c r="RSZ7" s="71"/>
      <c r="RTA7" s="71"/>
      <c r="RTB7" s="71"/>
      <c r="RTC7" s="71"/>
      <c r="RTD7" s="71"/>
      <c r="RTE7" s="71"/>
      <c r="RTF7" s="71"/>
      <c r="RTG7" s="71"/>
      <c r="RTH7" s="71"/>
      <c r="RTI7" s="71"/>
      <c r="RTJ7" s="71"/>
      <c r="RTK7" s="71"/>
      <c r="RTL7" s="71"/>
      <c r="RTM7" s="71"/>
      <c r="RTN7" s="71"/>
      <c r="RTO7" s="71"/>
      <c r="RTP7" s="71"/>
      <c r="RTQ7" s="71"/>
      <c r="RTR7" s="71"/>
      <c r="RTS7" s="71"/>
      <c r="RTT7" s="71"/>
      <c r="RTU7" s="71"/>
      <c r="RTV7" s="71"/>
      <c r="RTW7" s="71"/>
      <c r="RTX7" s="71"/>
      <c r="RTY7" s="71"/>
      <c r="RTZ7" s="71"/>
      <c r="RUA7" s="71"/>
      <c r="RUB7" s="71"/>
      <c r="RUC7" s="71"/>
      <c r="RUD7" s="71"/>
      <c r="RUE7" s="71"/>
      <c r="RUF7" s="71"/>
      <c r="RUG7" s="71"/>
      <c r="RUH7" s="71"/>
      <c r="RUI7" s="71"/>
      <c r="RUJ7" s="71"/>
      <c r="RUK7" s="71"/>
      <c r="RUL7" s="71"/>
      <c r="RUM7" s="71"/>
      <c r="RUN7" s="71"/>
      <c r="RUO7" s="71"/>
      <c r="RUP7" s="71"/>
      <c r="RUQ7" s="71"/>
      <c r="RUR7" s="71"/>
      <c r="RUS7" s="71"/>
      <c r="RUT7" s="71"/>
      <c r="RUU7" s="71"/>
      <c r="RUV7" s="71"/>
      <c r="RUW7" s="71"/>
      <c r="RUX7" s="71"/>
      <c r="RUY7" s="71"/>
      <c r="RUZ7" s="71"/>
      <c r="RVA7" s="71"/>
      <c r="RVB7" s="71"/>
      <c r="RVC7" s="71"/>
      <c r="RVD7" s="71"/>
      <c r="RVE7" s="71"/>
      <c r="RVF7" s="71"/>
      <c r="RVG7" s="71"/>
      <c r="RVH7" s="71"/>
      <c r="RVI7" s="71"/>
      <c r="RVJ7" s="71"/>
      <c r="RVK7" s="71"/>
      <c r="RVL7" s="71"/>
      <c r="RVM7" s="71"/>
      <c r="RVN7" s="71"/>
      <c r="RVO7" s="71"/>
      <c r="RVP7" s="71"/>
      <c r="RVQ7" s="71"/>
      <c r="RVR7" s="71"/>
      <c r="RVS7" s="71"/>
      <c r="RVT7" s="71"/>
      <c r="RVU7" s="71"/>
      <c r="RVV7" s="71"/>
      <c r="RVW7" s="71"/>
      <c r="RVX7" s="71"/>
      <c r="RVY7" s="71"/>
      <c r="RVZ7" s="71"/>
      <c r="RWA7" s="71"/>
      <c r="RWB7" s="71"/>
      <c r="RWC7" s="71"/>
      <c r="RWD7" s="71"/>
      <c r="RWE7" s="71"/>
      <c r="RWF7" s="71"/>
      <c r="RWG7" s="71"/>
      <c r="RWH7" s="71"/>
      <c r="RWI7" s="71"/>
      <c r="RWJ7" s="71"/>
      <c r="RWK7" s="71"/>
      <c r="RWL7" s="71"/>
      <c r="RWM7" s="71"/>
      <c r="RWN7" s="71"/>
      <c r="RWO7" s="71"/>
      <c r="RWP7" s="71"/>
      <c r="RWQ7" s="71"/>
      <c r="RWR7" s="71"/>
      <c r="RWS7" s="71"/>
      <c r="RWT7" s="71"/>
      <c r="RWU7" s="71"/>
      <c r="RWV7" s="71"/>
      <c r="RWW7" s="71"/>
      <c r="RWX7" s="71"/>
      <c r="RWY7" s="71"/>
      <c r="RWZ7" s="71"/>
      <c r="RXA7" s="71"/>
      <c r="RXB7" s="71"/>
      <c r="RXC7" s="71"/>
      <c r="RXD7" s="71"/>
      <c r="RXE7" s="71"/>
      <c r="RXF7" s="71"/>
      <c r="RXG7" s="71"/>
      <c r="RXH7" s="71"/>
      <c r="RXI7" s="71"/>
      <c r="RXJ7" s="71"/>
      <c r="RXK7" s="71"/>
      <c r="RXL7" s="71"/>
      <c r="RXM7" s="71"/>
      <c r="RXN7" s="71"/>
      <c r="RXO7" s="71"/>
      <c r="RXP7" s="71"/>
      <c r="RXQ7" s="71"/>
      <c r="RXR7" s="71"/>
      <c r="RXS7" s="71"/>
      <c r="RXT7" s="71"/>
      <c r="RXU7" s="71"/>
      <c r="RXV7" s="71"/>
      <c r="RXW7" s="71"/>
      <c r="RXX7" s="71"/>
      <c r="RXY7" s="71"/>
      <c r="RXZ7" s="71"/>
      <c r="RYA7" s="71"/>
      <c r="RYB7" s="71"/>
      <c r="RYC7" s="71"/>
      <c r="RYD7" s="71"/>
      <c r="RYE7" s="71"/>
      <c r="RYF7" s="71"/>
      <c r="RYG7" s="71"/>
      <c r="RYH7" s="71"/>
      <c r="RYI7" s="71"/>
      <c r="RYJ7" s="71"/>
      <c r="RYK7" s="71"/>
      <c r="RYL7" s="71"/>
      <c r="RYM7" s="71"/>
      <c r="RYN7" s="71"/>
      <c r="RYO7" s="71"/>
      <c r="RYP7" s="71"/>
      <c r="RYQ7" s="71"/>
      <c r="RYR7" s="71"/>
      <c r="RYS7" s="71"/>
      <c r="RYT7" s="71"/>
      <c r="RYU7" s="71"/>
      <c r="RYV7" s="71"/>
      <c r="RYW7" s="71"/>
      <c r="RYX7" s="71"/>
      <c r="RYY7" s="71"/>
      <c r="RYZ7" s="71"/>
      <c r="RZA7" s="71"/>
      <c r="RZB7" s="71"/>
      <c r="RZC7" s="71"/>
      <c r="RZD7" s="71"/>
      <c r="RZE7" s="71"/>
      <c r="RZF7" s="71"/>
      <c r="RZG7" s="71"/>
      <c r="RZH7" s="71"/>
      <c r="RZI7" s="71"/>
      <c r="RZJ7" s="71"/>
      <c r="RZK7" s="71"/>
      <c r="RZL7" s="71"/>
      <c r="RZM7" s="71"/>
      <c r="RZN7" s="71"/>
      <c r="RZO7" s="71"/>
      <c r="RZP7" s="71"/>
      <c r="RZQ7" s="71"/>
      <c r="RZR7" s="71"/>
      <c r="RZS7" s="71"/>
      <c r="RZT7" s="71"/>
      <c r="RZU7" s="71"/>
      <c r="RZV7" s="71"/>
      <c r="RZW7" s="71"/>
      <c r="RZX7" s="71"/>
      <c r="RZY7" s="71"/>
      <c r="RZZ7" s="71"/>
      <c r="SAA7" s="71"/>
      <c r="SAB7" s="71"/>
      <c r="SAC7" s="71"/>
      <c r="SAD7" s="71"/>
      <c r="SAE7" s="71"/>
      <c r="SAF7" s="71"/>
      <c r="SAG7" s="71"/>
      <c r="SAH7" s="71"/>
      <c r="SAI7" s="71"/>
      <c r="SAJ7" s="71"/>
      <c r="SAK7" s="71"/>
      <c r="SAL7" s="71"/>
      <c r="SAM7" s="71"/>
      <c r="SAN7" s="71"/>
      <c r="SAO7" s="71"/>
      <c r="SAP7" s="71"/>
      <c r="SAQ7" s="71"/>
      <c r="SAR7" s="71"/>
      <c r="SAS7" s="71"/>
      <c r="SAT7" s="71"/>
      <c r="SAU7" s="71"/>
      <c r="SAV7" s="71"/>
      <c r="SAW7" s="71"/>
      <c r="SAX7" s="71"/>
      <c r="SAY7" s="71"/>
      <c r="SAZ7" s="71"/>
      <c r="SBA7" s="71"/>
      <c r="SBB7" s="71"/>
      <c r="SBC7" s="71"/>
      <c r="SBD7" s="71"/>
      <c r="SBE7" s="71"/>
      <c r="SBF7" s="71"/>
      <c r="SBG7" s="71"/>
      <c r="SBH7" s="71"/>
      <c r="SBI7" s="71"/>
      <c r="SBJ7" s="71"/>
      <c r="SBK7" s="71"/>
      <c r="SBL7" s="71"/>
      <c r="SBM7" s="71"/>
      <c r="SBN7" s="71"/>
      <c r="SBO7" s="71"/>
      <c r="SBP7" s="71"/>
      <c r="SBQ7" s="71"/>
      <c r="SBR7" s="71"/>
      <c r="SBS7" s="71"/>
      <c r="SBT7" s="71"/>
      <c r="SBU7" s="71"/>
      <c r="SBV7" s="71"/>
      <c r="SBW7" s="71"/>
      <c r="SBX7" s="71"/>
      <c r="SBY7" s="71"/>
      <c r="SBZ7" s="71"/>
      <c r="SCA7" s="71"/>
      <c r="SCB7" s="71"/>
      <c r="SCC7" s="71"/>
      <c r="SCD7" s="71"/>
      <c r="SCE7" s="71"/>
      <c r="SCF7" s="71"/>
      <c r="SCG7" s="71"/>
      <c r="SCH7" s="71"/>
      <c r="SCI7" s="71"/>
      <c r="SCJ7" s="71"/>
      <c r="SCK7" s="71"/>
      <c r="SCL7" s="71"/>
      <c r="SCM7" s="71"/>
      <c r="SCN7" s="71"/>
      <c r="SCO7" s="71"/>
      <c r="SCP7" s="71"/>
      <c r="SCQ7" s="71"/>
      <c r="SCR7" s="71"/>
      <c r="SCS7" s="71"/>
      <c r="SCT7" s="71"/>
      <c r="SCU7" s="71"/>
      <c r="SCV7" s="71"/>
      <c r="SCW7" s="71"/>
      <c r="SCX7" s="71"/>
      <c r="SCY7" s="71"/>
      <c r="SCZ7" s="71"/>
      <c r="SDA7" s="71"/>
      <c r="SDB7" s="71"/>
      <c r="SDC7" s="71"/>
      <c r="SDD7" s="71"/>
      <c r="SDE7" s="71"/>
      <c r="SDF7" s="71"/>
      <c r="SDG7" s="71"/>
      <c r="SDH7" s="71"/>
      <c r="SDI7" s="71"/>
      <c r="SDJ7" s="71"/>
      <c r="SDK7" s="71"/>
      <c r="SDL7" s="71"/>
      <c r="SDM7" s="71"/>
      <c r="SDN7" s="71"/>
      <c r="SDO7" s="71"/>
      <c r="SDP7" s="71"/>
      <c r="SDQ7" s="71"/>
      <c r="SDR7" s="71"/>
      <c r="SDS7" s="71"/>
      <c r="SDT7" s="71"/>
      <c r="SDU7" s="71"/>
      <c r="SDV7" s="71"/>
      <c r="SDW7" s="71"/>
      <c r="SDX7" s="71"/>
      <c r="SDY7" s="71"/>
      <c r="SDZ7" s="71"/>
      <c r="SEA7" s="71"/>
      <c r="SEB7" s="71"/>
      <c r="SEC7" s="71"/>
      <c r="SED7" s="71"/>
      <c r="SEE7" s="71"/>
      <c r="SEF7" s="71"/>
      <c r="SEG7" s="71"/>
      <c r="SEH7" s="71"/>
      <c r="SEI7" s="71"/>
      <c r="SEJ7" s="71"/>
      <c r="SEK7" s="71"/>
      <c r="SEL7" s="71"/>
      <c r="SEM7" s="71"/>
      <c r="SEN7" s="71"/>
      <c r="SEO7" s="71"/>
      <c r="SEP7" s="71"/>
      <c r="SEQ7" s="71"/>
      <c r="SER7" s="71"/>
      <c r="SES7" s="71"/>
      <c r="SET7" s="71"/>
      <c r="SEU7" s="71"/>
      <c r="SEV7" s="71"/>
      <c r="SEW7" s="71"/>
      <c r="SEX7" s="71"/>
      <c r="SEY7" s="71"/>
      <c r="SEZ7" s="71"/>
      <c r="SFA7" s="71"/>
      <c r="SFB7" s="71"/>
      <c r="SFC7" s="71"/>
      <c r="SFD7" s="71"/>
      <c r="SFE7" s="71"/>
      <c r="SFF7" s="71"/>
      <c r="SFG7" s="71"/>
      <c r="SFH7" s="71"/>
      <c r="SFI7" s="71"/>
      <c r="SFJ7" s="71"/>
      <c r="SFK7" s="71"/>
      <c r="SFL7" s="71"/>
      <c r="SFM7" s="71"/>
      <c r="SFN7" s="71"/>
      <c r="SFO7" s="71"/>
      <c r="SFP7" s="71"/>
      <c r="SFQ7" s="71"/>
      <c r="SFR7" s="71"/>
      <c r="SFS7" s="71"/>
      <c r="SFT7" s="71"/>
      <c r="SFU7" s="71"/>
      <c r="SFV7" s="71"/>
      <c r="SFW7" s="71"/>
      <c r="SFX7" s="71"/>
      <c r="SFY7" s="71"/>
      <c r="SFZ7" s="71"/>
      <c r="SGA7" s="71"/>
      <c r="SGB7" s="71"/>
      <c r="SGC7" s="71"/>
      <c r="SGD7" s="71"/>
      <c r="SGE7" s="71"/>
      <c r="SGF7" s="71"/>
      <c r="SGG7" s="71"/>
      <c r="SGH7" s="71"/>
      <c r="SGI7" s="71"/>
      <c r="SGJ7" s="71"/>
      <c r="SGK7" s="71"/>
      <c r="SGL7" s="71"/>
      <c r="SGM7" s="71"/>
      <c r="SGN7" s="71"/>
      <c r="SGO7" s="71"/>
      <c r="SGP7" s="71"/>
      <c r="SGQ7" s="71"/>
      <c r="SGR7" s="71"/>
      <c r="SGS7" s="71"/>
      <c r="SGT7" s="71"/>
      <c r="SGU7" s="71"/>
      <c r="SGV7" s="71"/>
      <c r="SGW7" s="71"/>
      <c r="SGX7" s="71"/>
      <c r="SGY7" s="71"/>
      <c r="SGZ7" s="71"/>
      <c r="SHA7" s="71"/>
      <c r="SHB7" s="71"/>
      <c r="SHC7" s="71"/>
      <c r="SHD7" s="71"/>
      <c r="SHE7" s="71"/>
      <c r="SHF7" s="71"/>
      <c r="SHG7" s="71"/>
      <c r="SHH7" s="71"/>
      <c r="SHI7" s="71"/>
      <c r="SHJ7" s="71"/>
      <c r="SHK7" s="71"/>
      <c r="SHL7" s="71"/>
      <c r="SHM7" s="71"/>
      <c r="SHN7" s="71"/>
      <c r="SHO7" s="71"/>
      <c r="SHP7" s="71"/>
      <c r="SHQ7" s="71"/>
      <c r="SHR7" s="71"/>
      <c r="SHS7" s="71"/>
      <c r="SHT7" s="71"/>
      <c r="SHU7" s="71"/>
      <c r="SHV7" s="71"/>
      <c r="SHW7" s="71"/>
      <c r="SHX7" s="71"/>
      <c r="SHY7" s="71"/>
      <c r="SHZ7" s="71"/>
      <c r="SIA7" s="71"/>
      <c r="SIB7" s="71"/>
      <c r="SIC7" s="71"/>
      <c r="SID7" s="71"/>
      <c r="SIE7" s="71"/>
      <c r="SIF7" s="71"/>
      <c r="SIG7" s="71"/>
      <c r="SIH7" s="71"/>
      <c r="SII7" s="71"/>
      <c r="SIJ7" s="71"/>
      <c r="SIK7" s="71"/>
      <c r="SIL7" s="71"/>
      <c r="SIM7" s="71"/>
      <c r="SIN7" s="71"/>
      <c r="SIO7" s="71"/>
      <c r="SIP7" s="71"/>
      <c r="SIQ7" s="71"/>
      <c r="SIR7" s="71"/>
      <c r="SIS7" s="71"/>
      <c r="SIT7" s="71"/>
      <c r="SIU7" s="71"/>
      <c r="SIV7" s="71"/>
      <c r="SIW7" s="71"/>
      <c r="SIX7" s="71"/>
      <c r="SIY7" s="71"/>
      <c r="SIZ7" s="71"/>
      <c r="SJA7" s="71"/>
      <c r="SJB7" s="71"/>
      <c r="SJC7" s="71"/>
      <c r="SJD7" s="71"/>
      <c r="SJE7" s="71"/>
      <c r="SJF7" s="71"/>
      <c r="SJG7" s="71"/>
      <c r="SJH7" s="71"/>
      <c r="SJI7" s="71"/>
      <c r="SJJ7" s="71"/>
      <c r="SJK7" s="71"/>
      <c r="SJL7" s="71"/>
      <c r="SJM7" s="71"/>
      <c r="SJN7" s="71"/>
      <c r="SJO7" s="71"/>
      <c r="SJP7" s="71"/>
      <c r="SJQ7" s="71"/>
      <c r="SJR7" s="71"/>
      <c r="SJS7" s="71"/>
      <c r="SJT7" s="71"/>
      <c r="SJU7" s="71"/>
      <c r="SJV7" s="71"/>
      <c r="SJW7" s="71"/>
      <c r="SJX7" s="71"/>
      <c r="SJY7" s="71"/>
      <c r="SJZ7" s="71"/>
      <c r="SKA7" s="71"/>
      <c r="SKB7" s="71"/>
      <c r="SKC7" s="71"/>
      <c r="SKD7" s="71"/>
      <c r="SKE7" s="71"/>
      <c r="SKF7" s="71"/>
      <c r="SKG7" s="71"/>
      <c r="SKH7" s="71"/>
      <c r="SKI7" s="71"/>
      <c r="SKJ7" s="71"/>
      <c r="SKK7" s="71"/>
      <c r="SKL7" s="71"/>
      <c r="SKM7" s="71"/>
      <c r="SKN7" s="71"/>
      <c r="SKO7" s="71"/>
      <c r="SKP7" s="71"/>
      <c r="SKQ7" s="71"/>
      <c r="SKR7" s="71"/>
      <c r="SKS7" s="71"/>
      <c r="SKT7" s="71"/>
      <c r="SKU7" s="71"/>
      <c r="SKV7" s="71"/>
      <c r="SKW7" s="71"/>
      <c r="SKX7" s="71"/>
      <c r="SKY7" s="71"/>
      <c r="SKZ7" s="71"/>
      <c r="SLA7" s="71"/>
      <c r="SLB7" s="71"/>
      <c r="SLC7" s="71"/>
      <c r="SLD7" s="71"/>
      <c r="SLE7" s="71"/>
      <c r="SLF7" s="71"/>
      <c r="SLG7" s="71"/>
      <c r="SLH7" s="71"/>
      <c r="SLI7" s="71"/>
      <c r="SLJ7" s="71"/>
      <c r="SLK7" s="71"/>
      <c r="SLL7" s="71"/>
      <c r="SLM7" s="71"/>
      <c r="SLN7" s="71"/>
      <c r="SLO7" s="71"/>
      <c r="SLP7" s="71"/>
      <c r="SLQ7" s="71"/>
      <c r="SLR7" s="71"/>
      <c r="SLS7" s="71"/>
      <c r="SLT7" s="71"/>
      <c r="SLU7" s="71"/>
      <c r="SLV7" s="71"/>
      <c r="SLW7" s="71"/>
      <c r="SLX7" s="71"/>
      <c r="SLY7" s="71"/>
      <c r="SLZ7" s="71"/>
      <c r="SMA7" s="71"/>
      <c r="SMB7" s="71"/>
      <c r="SMC7" s="71"/>
      <c r="SMD7" s="71"/>
      <c r="SME7" s="71"/>
      <c r="SMF7" s="71"/>
      <c r="SMG7" s="71"/>
      <c r="SMH7" s="71"/>
      <c r="SMI7" s="71"/>
      <c r="SMJ7" s="71"/>
      <c r="SMK7" s="71"/>
      <c r="SML7" s="71"/>
      <c r="SMM7" s="71"/>
      <c r="SMN7" s="71"/>
      <c r="SMO7" s="71"/>
      <c r="SMP7" s="71"/>
      <c r="SMQ7" s="71"/>
      <c r="SMR7" s="71"/>
      <c r="SMS7" s="71"/>
      <c r="SMT7" s="71"/>
      <c r="SMU7" s="71"/>
      <c r="SMV7" s="71"/>
      <c r="SMW7" s="71"/>
      <c r="SMX7" s="71"/>
      <c r="SMY7" s="71"/>
      <c r="SMZ7" s="71"/>
      <c r="SNA7" s="71"/>
      <c r="SNB7" s="71"/>
      <c r="SNC7" s="71"/>
      <c r="SND7" s="71"/>
      <c r="SNE7" s="71"/>
      <c r="SNF7" s="71"/>
      <c r="SNG7" s="71"/>
      <c r="SNH7" s="71"/>
      <c r="SNI7" s="71"/>
      <c r="SNJ7" s="71"/>
      <c r="SNK7" s="71"/>
      <c r="SNL7" s="71"/>
      <c r="SNM7" s="71"/>
      <c r="SNN7" s="71"/>
      <c r="SNO7" s="71"/>
      <c r="SNP7" s="71"/>
      <c r="SNQ7" s="71"/>
      <c r="SNR7" s="71"/>
      <c r="SNS7" s="71"/>
      <c r="SNT7" s="71"/>
      <c r="SNU7" s="71"/>
      <c r="SNV7" s="71"/>
      <c r="SNW7" s="71"/>
      <c r="SNX7" s="71"/>
      <c r="SNY7" s="71"/>
      <c r="SNZ7" s="71"/>
      <c r="SOA7" s="71"/>
      <c r="SOB7" s="71"/>
      <c r="SOC7" s="71"/>
      <c r="SOD7" s="71"/>
      <c r="SOE7" s="71"/>
      <c r="SOF7" s="71"/>
      <c r="SOG7" s="71"/>
      <c r="SOH7" s="71"/>
      <c r="SOI7" s="71"/>
      <c r="SOJ7" s="71"/>
      <c r="SOK7" s="71"/>
      <c r="SOL7" s="71"/>
      <c r="SOM7" s="71"/>
      <c r="SON7" s="71"/>
      <c r="SOO7" s="71"/>
      <c r="SOP7" s="71"/>
      <c r="SOQ7" s="71"/>
      <c r="SOR7" s="71"/>
      <c r="SOS7" s="71"/>
      <c r="SOT7" s="71"/>
      <c r="SOU7" s="71"/>
      <c r="SOV7" s="71"/>
      <c r="SOW7" s="71"/>
      <c r="SOX7" s="71"/>
      <c r="SOY7" s="71"/>
      <c r="SOZ7" s="71"/>
      <c r="SPA7" s="71"/>
      <c r="SPB7" s="71"/>
      <c r="SPC7" s="71"/>
      <c r="SPD7" s="71"/>
      <c r="SPE7" s="71"/>
      <c r="SPF7" s="71"/>
      <c r="SPG7" s="71"/>
      <c r="SPH7" s="71"/>
      <c r="SPI7" s="71"/>
      <c r="SPJ7" s="71"/>
      <c r="SPK7" s="71"/>
      <c r="SPL7" s="71"/>
      <c r="SPM7" s="71"/>
      <c r="SPN7" s="71"/>
      <c r="SPO7" s="71"/>
      <c r="SPP7" s="71"/>
      <c r="SPQ7" s="71"/>
      <c r="SPR7" s="71"/>
      <c r="SPS7" s="71"/>
      <c r="SPT7" s="71"/>
      <c r="SPU7" s="71"/>
      <c r="SPV7" s="71"/>
      <c r="SPW7" s="71"/>
      <c r="SPX7" s="71"/>
      <c r="SPY7" s="71"/>
      <c r="SPZ7" s="71"/>
      <c r="SQA7" s="71"/>
      <c r="SQB7" s="71"/>
      <c r="SQC7" s="71"/>
      <c r="SQD7" s="71"/>
      <c r="SQE7" s="71"/>
      <c r="SQF7" s="71"/>
      <c r="SQG7" s="71"/>
      <c r="SQH7" s="71"/>
      <c r="SQI7" s="71"/>
      <c r="SQJ7" s="71"/>
      <c r="SQK7" s="71"/>
      <c r="SQL7" s="71"/>
      <c r="SQM7" s="71"/>
      <c r="SQN7" s="71"/>
      <c r="SQO7" s="71"/>
      <c r="SQP7" s="71"/>
      <c r="SQQ7" s="71"/>
      <c r="SQR7" s="71"/>
      <c r="SQS7" s="71"/>
      <c r="SQT7" s="71"/>
      <c r="SQU7" s="71"/>
      <c r="SQV7" s="71"/>
      <c r="SQW7" s="71"/>
      <c r="SQX7" s="71"/>
      <c r="SQY7" s="71"/>
      <c r="SQZ7" s="71"/>
      <c r="SRA7" s="71"/>
      <c r="SRB7" s="71"/>
      <c r="SRC7" s="71"/>
      <c r="SRD7" s="71"/>
      <c r="SRE7" s="71"/>
      <c r="SRF7" s="71"/>
      <c r="SRG7" s="71"/>
      <c r="SRH7" s="71"/>
      <c r="SRI7" s="71"/>
      <c r="SRJ7" s="71"/>
      <c r="SRK7" s="71"/>
      <c r="SRL7" s="71"/>
      <c r="SRM7" s="71"/>
      <c r="SRN7" s="71"/>
      <c r="SRO7" s="71"/>
      <c r="SRP7" s="71"/>
      <c r="SRQ7" s="71"/>
      <c r="SRR7" s="71"/>
      <c r="SRS7" s="71"/>
      <c r="SRT7" s="71"/>
      <c r="SRU7" s="71"/>
      <c r="SRV7" s="71"/>
      <c r="SRW7" s="71"/>
      <c r="SRX7" s="71"/>
      <c r="SRY7" s="71"/>
      <c r="SRZ7" s="71"/>
      <c r="SSA7" s="71"/>
      <c r="SSB7" s="71"/>
      <c r="SSC7" s="71"/>
      <c r="SSD7" s="71"/>
      <c r="SSE7" s="71"/>
      <c r="SSF7" s="71"/>
      <c r="SSG7" s="71"/>
      <c r="SSH7" s="71"/>
      <c r="SSI7" s="71"/>
      <c r="SSJ7" s="71"/>
      <c r="SSK7" s="71"/>
      <c r="SSL7" s="71"/>
      <c r="SSM7" s="71"/>
      <c r="SSN7" s="71"/>
      <c r="SSO7" s="71"/>
      <c r="SSP7" s="71"/>
      <c r="SSQ7" s="71"/>
      <c r="SSR7" s="71"/>
      <c r="SSS7" s="71"/>
      <c r="SST7" s="71"/>
      <c r="SSU7" s="71"/>
      <c r="SSV7" s="71"/>
      <c r="SSW7" s="71"/>
      <c r="SSX7" s="71"/>
      <c r="SSY7" s="71"/>
      <c r="SSZ7" s="71"/>
      <c r="STA7" s="71"/>
      <c r="STB7" s="71"/>
      <c r="STC7" s="71"/>
      <c r="STD7" s="71"/>
      <c r="STE7" s="71"/>
      <c r="STF7" s="71"/>
      <c r="STG7" s="71"/>
      <c r="STH7" s="71"/>
      <c r="STI7" s="71"/>
      <c r="STJ7" s="71"/>
      <c r="STK7" s="71"/>
      <c r="STL7" s="71"/>
      <c r="STM7" s="71"/>
      <c r="STN7" s="71"/>
      <c r="STO7" s="71"/>
      <c r="STP7" s="71"/>
      <c r="STQ7" s="71"/>
      <c r="STR7" s="71"/>
      <c r="STS7" s="71"/>
      <c r="STT7" s="71"/>
      <c r="STU7" s="71"/>
      <c r="STV7" s="71"/>
      <c r="STW7" s="71"/>
      <c r="STX7" s="71"/>
      <c r="STY7" s="71"/>
      <c r="STZ7" s="71"/>
      <c r="SUA7" s="71"/>
      <c r="SUB7" s="71"/>
      <c r="SUC7" s="71"/>
      <c r="SUD7" s="71"/>
      <c r="SUE7" s="71"/>
      <c r="SUF7" s="71"/>
      <c r="SUG7" s="71"/>
      <c r="SUH7" s="71"/>
      <c r="SUI7" s="71"/>
      <c r="SUJ7" s="71"/>
      <c r="SUK7" s="71"/>
      <c r="SUL7" s="71"/>
      <c r="SUM7" s="71"/>
      <c r="SUN7" s="71"/>
      <c r="SUO7" s="71"/>
      <c r="SUP7" s="71"/>
      <c r="SUQ7" s="71"/>
      <c r="SUR7" s="71"/>
      <c r="SUS7" s="71"/>
      <c r="SUT7" s="71"/>
      <c r="SUU7" s="71"/>
      <c r="SUV7" s="71"/>
      <c r="SUW7" s="71"/>
      <c r="SUX7" s="71"/>
      <c r="SUY7" s="71"/>
      <c r="SUZ7" s="71"/>
      <c r="SVA7" s="71"/>
      <c r="SVB7" s="71"/>
      <c r="SVC7" s="71"/>
      <c r="SVD7" s="71"/>
      <c r="SVE7" s="71"/>
      <c r="SVF7" s="71"/>
      <c r="SVG7" s="71"/>
      <c r="SVH7" s="71"/>
      <c r="SVI7" s="71"/>
      <c r="SVJ7" s="71"/>
      <c r="SVK7" s="71"/>
      <c r="SVL7" s="71"/>
      <c r="SVM7" s="71"/>
      <c r="SVN7" s="71"/>
      <c r="SVO7" s="71"/>
      <c r="SVP7" s="71"/>
      <c r="SVQ7" s="71"/>
      <c r="SVR7" s="71"/>
      <c r="SVS7" s="71"/>
      <c r="SVT7" s="71"/>
      <c r="SVU7" s="71"/>
      <c r="SVV7" s="71"/>
      <c r="SVW7" s="71"/>
      <c r="SVX7" s="71"/>
      <c r="SVY7" s="71"/>
      <c r="SVZ7" s="71"/>
      <c r="SWA7" s="71"/>
      <c r="SWB7" s="71"/>
      <c r="SWC7" s="71"/>
      <c r="SWD7" s="71"/>
      <c r="SWE7" s="71"/>
      <c r="SWF7" s="71"/>
      <c r="SWG7" s="71"/>
      <c r="SWH7" s="71"/>
      <c r="SWI7" s="71"/>
      <c r="SWJ7" s="71"/>
      <c r="SWK7" s="71"/>
      <c r="SWL7" s="71"/>
      <c r="SWM7" s="71"/>
      <c r="SWN7" s="71"/>
      <c r="SWO7" s="71"/>
      <c r="SWP7" s="71"/>
      <c r="SWQ7" s="71"/>
      <c r="SWR7" s="71"/>
      <c r="SWS7" s="71"/>
      <c r="SWT7" s="71"/>
      <c r="SWU7" s="71"/>
      <c r="SWV7" s="71"/>
      <c r="SWW7" s="71"/>
      <c r="SWX7" s="71"/>
      <c r="SWY7" s="71"/>
      <c r="SWZ7" s="71"/>
      <c r="SXA7" s="71"/>
      <c r="SXB7" s="71"/>
      <c r="SXC7" s="71"/>
      <c r="SXD7" s="71"/>
      <c r="SXE7" s="71"/>
      <c r="SXF7" s="71"/>
      <c r="SXG7" s="71"/>
      <c r="SXH7" s="71"/>
      <c r="SXI7" s="71"/>
      <c r="SXJ7" s="71"/>
      <c r="SXK7" s="71"/>
      <c r="SXL7" s="71"/>
      <c r="SXM7" s="71"/>
      <c r="SXN7" s="71"/>
      <c r="SXO7" s="71"/>
      <c r="SXP7" s="71"/>
      <c r="SXQ7" s="71"/>
      <c r="SXR7" s="71"/>
      <c r="SXS7" s="71"/>
      <c r="SXT7" s="71"/>
      <c r="SXU7" s="71"/>
      <c r="SXV7" s="71"/>
      <c r="SXW7" s="71"/>
      <c r="SXX7" s="71"/>
      <c r="SXY7" s="71"/>
      <c r="SXZ7" s="71"/>
      <c r="SYA7" s="71"/>
      <c r="SYB7" s="71"/>
      <c r="SYC7" s="71"/>
      <c r="SYD7" s="71"/>
      <c r="SYE7" s="71"/>
      <c r="SYF7" s="71"/>
      <c r="SYG7" s="71"/>
      <c r="SYH7" s="71"/>
      <c r="SYI7" s="71"/>
      <c r="SYJ7" s="71"/>
      <c r="SYK7" s="71"/>
      <c r="SYL7" s="71"/>
      <c r="SYM7" s="71"/>
      <c r="SYN7" s="71"/>
      <c r="SYO7" s="71"/>
      <c r="SYP7" s="71"/>
      <c r="SYQ7" s="71"/>
      <c r="SYR7" s="71"/>
      <c r="SYS7" s="71"/>
      <c r="SYT7" s="71"/>
      <c r="SYU7" s="71"/>
      <c r="SYV7" s="71"/>
      <c r="SYW7" s="71"/>
      <c r="SYX7" s="71"/>
      <c r="SYY7" s="71"/>
      <c r="SYZ7" s="71"/>
      <c r="SZA7" s="71"/>
      <c r="SZB7" s="71"/>
      <c r="SZC7" s="71"/>
      <c r="SZD7" s="71"/>
      <c r="SZE7" s="71"/>
      <c r="SZF7" s="71"/>
      <c r="SZG7" s="71"/>
      <c r="SZH7" s="71"/>
      <c r="SZI7" s="71"/>
      <c r="SZJ7" s="71"/>
      <c r="SZK7" s="71"/>
      <c r="SZL7" s="71"/>
      <c r="SZM7" s="71"/>
      <c r="SZN7" s="71"/>
      <c r="SZO7" s="71"/>
      <c r="SZP7" s="71"/>
      <c r="SZQ7" s="71"/>
      <c r="SZR7" s="71"/>
      <c r="SZS7" s="71"/>
      <c r="SZT7" s="71"/>
      <c r="SZU7" s="71"/>
      <c r="SZV7" s="71"/>
      <c r="SZW7" s="71"/>
      <c r="SZX7" s="71"/>
      <c r="SZY7" s="71"/>
      <c r="SZZ7" s="71"/>
      <c r="TAA7" s="71"/>
      <c r="TAB7" s="71"/>
      <c r="TAC7" s="71"/>
      <c r="TAD7" s="71"/>
      <c r="TAE7" s="71"/>
      <c r="TAF7" s="71"/>
      <c r="TAG7" s="71"/>
      <c r="TAH7" s="71"/>
      <c r="TAI7" s="71"/>
      <c r="TAJ7" s="71"/>
      <c r="TAK7" s="71"/>
      <c r="TAL7" s="71"/>
      <c r="TAM7" s="71"/>
      <c r="TAN7" s="71"/>
      <c r="TAO7" s="71"/>
      <c r="TAP7" s="71"/>
      <c r="TAQ7" s="71"/>
      <c r="TAR7" s="71"/>
      <c r="TAS7" s="71"/>
      <c r="TAT7" s="71"/>
      <c r="TAU7" s="71"/>
      <c r="TAV7" s="71"/>
      <c r="TAW7" s="71"/>
      <c r="TAX7" s="71"/>
      <c r="TAY7" s="71"/>
      <c r="TAZ7" s="71"/>
      <c r="TBA7" s="71"/>
      <c r="TBB7" s="71"/>
      <c r="TBC7" s="71"/>
      <c r="TBD7" s="71"/>
      <c r="TBE7" s="71"/>
      <c r="TBF7" s="71"/>
      <c r="TBG7" s="71"/>
      <c r="TBH7" s="71"/>
      <c r="TBI7" s="71"/>
      <c r="TBJ7" s="71"/>
      <c r="TBK7" s="71"/>
      <c r="TBL7" s="71"/>
      <c r="TBM7" s="71"/>
      <c r="TBN7" s="71"/>
      <c r="TBO7" s="71"/>
      <c r="TBP7" s="71"/>
      <c r="TBQ7" s="71"/>
      <c r="TBR7" s="71"/>
      <c r="TBS7" s="71"/>
      <c r="TBT7" s="71"/>
      <c r="TBU7" s="71"/>
      <c r="TBV7" s="71"/>
      <c r="TBW7" s="71"/>
      <c r="TBX7" s="71"/>
      <c r="TBY7" s="71"/>
      <c r="TBZ7" s="71"/>
      <c r="TCA7" s="71"/>
      <c r="TCB7" s="71"/>
      <c r="TCC7" s="71"/>
      <c r="TCD7" s="71"/>
      <c r="TCE7" s="71"/>
      <c r="TCF7" s="71"/>
      <c r="TCG7" s="71"/>
      <c r="TCH7" s="71"/>
      <c r="TCI7" s="71"/>
      <c r="TCJ7" s="71"/>
      <c r="TCK7" s="71"/>
      <c r="TCL7" s="71"/>
      <c r="TCM7" s="71"/>
      <c r="TCN7" s="71"/>
      <c r="TCO7" s="71"/>
      <c r="TCP7" s="71"/>
      <c r="TCQ7" s="71"/>
      <c r="TCR7" s="71"/>
      <c r="TCS7" s="71"/>
      <c r="TCT7" s="71"/>
      <c r="TCU7" s="71"/>
      <c r="TCV7" s="71"/>
      <c r="TCW7" s="71"/>
      <c r="TCX7" s="71"/>
      <c r="TCY7" s="71"/>
      <c r="TCZ7" s="71"/>
      <c r="TDA7" s="71"/>
      <c r="TDB7" s="71"/>
      <c r="TDC7" s="71"/>
      <c r="TDD7" s="71"/>
      <c r="TDE7" s="71"/>
      <c r="TDF7" s="71"/>
      <c r="TDG7" s="71"/>
      <c r="TDH7" s="71"/>
      <c r="TDI7" s="71"/>
      <c r="TDJ7" s="71"/>
      <c r="TDK7" s="71"/>
      <c r="TDL7" s="71"/>
      <c r="TDM7" s="71"/>
      <c r="TDN7" s="71"/>
      <c r="TDO7" s="71"/>
      <c r="TDP7" s="71"/>
      <c r="TDQ7" s="71"/>
      <c r="TDR7" s="71"/>
      <c r="TDS7" s="71"/>
      <c r="TDT7" s="71"/>
      <c r="TDU7" s="71"/>
      <c r="TDV7" s="71"/>
      <c r="TDW7" s="71"/>
      <c r="TDX7" s="71"/>
      <c r="TDY7" s="71"/>
      <c r="TDZ7" s="71"/>
      <c r="TEA7" s="71"/>
      <c r="TEB7" s="71"/>
      <c r="TEC7" s="71"/>
      <c r="TED7" s="71"/>
      <c r="TEE7" s="71"/>
      <c r="TEF7" s="71"/>
      <c r="TEG7" s="71"/>
      <c r="TEH7" s="71"/>
      <c r="TEI7" s="71"/>
      <c r="TEJ7" s="71"/>
      <c r="TEK7" s="71"/>
      <c r="TEL7" s="71"/>
      <c r="TEM7" s="71"/>
      <c r="TEN7" s="71"/>
      <c r="TEO7" s="71"/>
      <c r="TEP7" s="71"/>
      <c r="TEQ7" s="71"/>
      <c r="TER7" s="71"/>
      <c r="TES7" s="71"/>
      <c r="TET7" s="71"/>
      <c r="TEU7" s="71"/>
      <c r="TEV7" s="71"/>
      <c r="TEW7" s="71"/>
      <c r="TEX7" s="71"/>
      <c r="TEY7" s="71"/>
      <c r="TEZ7" s="71"/>
      <c r="TFA7" s="71"/>
      <c r="TFB7" s="71"/>
      <c r="TFC7" s="71"/>
      <c r="TFD7" s="71"/>
      <c r="TFE7" s="71"/>
      <c r="TFF7" s="71"/>
      <c r="TFG7" s="71"/>
      <c r="TFH7" s="71"/>
      <c r="TFI7" s="71"/>
      <c r="TFJ7" s="71"/>
      <c r="TFK7" s="71"/>
      <c r="TFL7" s="71"/>
      <c r="TFM7" s="71"/>
      <c r="TFN7" s="71"/>
      <c r="TFO7" s="71"/>
      <c r="TFP7" s="71"/>
      <c r="TFQ7" s="71"/>
      <c r="TFR7" s="71"/>
      <c r="TFS7" s="71"/>
      <c r="TFT7" s="71"/>
      <c r="TFU7" s="71"/>
      <c r="TFV7" s="71"/>
      <c r="TFW7" s="71"/>
      <c r="TFX7" s="71"/>
      <c r="TFY7" s="71"/>
      <c r="TFZ7" s="71"/>
      <c r="TGA7" s="71"/>
      <c r="TGB7" s="71"/>
      <c r="TGC7" s="71"/>
      <c r="TGD7" s="71"/>
      <c r="TGE7" s="71"/>
      <c r="TGF7" s="71"/>
      <c r="TGG7" s="71"/>
      <c r="TGH7" s="71"/>
      <c r="TGI7" s="71"/>
      <c r="TGJ7" s="71"/>
      <c r="TGK7" s="71"/>
      <c r="TGL7" s="71"/>
      <c r="TGM7" s="71"/>
      <c r="TGN7" s="71"/>
      <c r="TGO7" s="71"/>
      <c r="TGP7" s="71"/>
      <c r="TGQ7" s="71"/>
      <c r="TGR7" s="71"/>
      <c r="TGS7" s="71"/>
      <c r="TGT7" s="71"/>
      <c r="TGU7" s="71"/>
      <c r="TGV7" s="71"/>
      <c r="TGW7" s="71"/>
      <c r="TGX7" s="71"/>
      <c r="TGY7" s="71"/>
      <c r="TGZ7" s="71"/>
      <c r="THA7" s="71"/>
      <c r="THB7" s="71"/>
      <c r="THC7" s="71"/>
      <c r="THD7" s="71"/>
      <c r="THE7" s="71"/>
      <c r="THF7" s="71"/>
      <c r="THG7" s="71"/>
      <c r="THH7" s="71"/>
      <c r="THI7" s="71"/>
      <c r="THJ7" s="71"/>
      <c r="THK7" s="71"/>
      <c r="THL7" s="71"/>
      <c r="THM7" s="71"/>
      <c r="THN7" s="71"/>
      <c r="THO7" s="71"/>
      <c r="THP7" s="71"/>
      <c r="THQ7" s="71"/>
      <c r="THR7" s="71"/>
      <c r="THS7" s="71"/>
      <c r="THT7" s="71"/>
      <c r="THU7" s="71"/>
      <c r="THV7" s="71"/>
      <c r="THW7" s="71"/>
      <c r="THX7" s="71"/>
      <c r="THY7" s="71"/>
      <c r="THZ7" s="71"/>
      <c r="TIA7" s="71"/>
      <c r="TIB7" s="71"/>
      <c r="TIC7" s="71"/>
      <c r="TID7" s="71"/>
      <c r="TIE7" s="71"/>
      <c r="TIF7" s="71"/>
      <c r="TIG7" s="71"/>
      <c r="TIH7" s="71"/>
      <c r="TII7" s="71"/>
      <c r="TIJ7" s="71"/>
      <c r="TIK7" s="71"/>
      <c r="TIL7" s="71"/>
      <c r="TIM7" s="71"/>
      <c r="TIN7" s="71"/>
      <c r="TIO7" s="71"/>
      <c r="TIP7" s="71"/>
      <c r="TIQ7" s="71"/>
      <c r="TIR7" s="71"/>
      <c r="TIS7" s="71"/>
      <c r="TIT7" s="71"/>
      <c r="TIU7" s="71"/>
      <c r="TIV7" s="71"/>
      <c r="TIW7" s="71"/>
      <c r="TIX7" s="71"/>
      <c r="TIY7" s="71"/>
      <c r="TIZ7" s="71"/>
      <c r="TJA7" s="71"/>
      <c r="TJB7" s="71"/>
      <c r="TJC7" s="71"/>
      <c r="TJD7" s="71"/>
      <c r="TJE7" s="71"/>
      <c r="TJF7" s="71"/>
      <c r="TJG7" s="71"/>
      <c r="TJH7" s="71"/>
      <c r="TJI7" s="71"/>
      <c r="TJJ7" s="71"/>
      <c r="TJK7" s="71"/>
      <c r="TJL7" s="71"/>
      <c r="TJM7" s="71"/>
      <c r="TJN7" s="71"/>
      <c r="TJO7" s="71"/>
      <c r="TJP7" s="71"/>
      <c r="TJQ7" s="71"/>
      <c r="TJR7" s="71"/>
      <c r="TJS7" s="71"/>
      <c r="TJT7" s="71"/>
      <c r="TJU7" s="71"/>
      <c r="TJV7" s="71"/>
      <c r="TJW7" s="71"/>
      <c r="TJX7" s="71"/>
      <c r="TJY7" s="71"/>
      <c r="TJZ7" s="71"/>
      <c r="TKA7" s="71"/>
      <c r="TKB7" s="71"/>
      <c r="TKC7" s="71"/>
      <c r="TKD7" s="71"/>
      <c r="TKE7" s="71"/>
      <c r="TKF7" s="71"/>
      <c r="TKG7" s="71"/>
      <c r="TKH7" s="71"/>
      <c r="TKI7" s="71"/>
      <c r="TKJ7" s="71"/>
      <c r="TKK7" s="71"/>
      <c r="TKL7" s="71"/>
      <c r="TKM7" s="71"/>
      <c r="TKN7" s="71"/>
      <c r="TKO7" s="71"/>
      <c r="TKP7" s="71"/>
      <c r="TKQ7" s="71"/>
      <c r="TKR7" s="71"/>
      <c r="TKS7" s="71"/>
      <c r="TKT7" s="71"/>
      <c r="TKU7" s="71"/>
      <c r="TKV7" s="71"/>
      <c r="TKW7" s="71"/>
      <c r="TKX7" s="71"/>
      <c r="TKY7" s="71"/>
      <c r="TKZ7" s="71"/>
      <c r="TLA7" s="71"/>
      <c r="TLB7" s="71"/>
      <c r="TLC7" s="71"/>
      <c r="TLD7" s="71"/>
      <c r="TLE7" s="71"/>
      <c r="TLF7" s="71"/>
      <c r="TLG7" s="71"/>
      <c r="TLH7" s="71"/>
      <c r="TLI7" s="71"/>
      <c r="TLJ7" s="71"/>
      <c r="TLK7" s="71"/>
      <c r="TLL7" s="71"/>
      <c r="TLM7" s="71"/>
      <c r="TLN7" s="71"/>
      <c r="TLO7" s="71"/>
      <c r="TLP7" s="71"/>
      <c r="TLQ7" s="71"/>
      <c r="TLR7" s="71"/>
      <c r="TLS7" s="71"/>
      <c r="TLT7" s="71"/>
      <c r="TLU7" s="71"/>
      <c r="TLV7" s="71"/>
      <c r="TLW7" s="71"/>
      <c r="TLX7" s="71"/>
      <c r="TLY7" s="71"/>
      <c r="TLZ7" s="71"/>
      <c r="TMA7" s="71"/>
      <c r="TMB7" s="71"/>
      <c r="TMC7" s="71"/>
      <c r="TMD7" s="71"/>
      <c r="TME7" s="71"/>
      <c r="TMF7" s="71"/>
      <c r="TMG7" s="71"/>
      <c r="TMH7" s="71"/>
      <c r="TMI7" s="71"/>
      <c r="TMJ7" s="71"/>
      <c r="TMK7" s="71"/>
      <c r="TML7" s="71"/>
      <c r="TMM7" s="71"/>
      <c r="TMN7" s="71"/>
      <c r="TMO7" s="71"/>
      <c r="TMP7" s="71"/>
      <c r="TMQ7" s="71"/>
      <c r="TMR7" s="71"/>
      <c r="TMS7" s="71"/>
      <c r="TMT7" s="71"/>
      <c r="TMU7" s="71"/>
      <c r="TMV7" s="71"/>
      <c r="TMW7" s="71"/>
      <c r="TMX7" s="71"/>
      <c r="TMY7" s="71"/>
      <c r="TMZ7" s="71"/>
      <c r="TNA7" s="71"/>
      <c r="TNB7" s="71"/>
      <c r="TNC7" s="71"/>
      <c r="TND7" s="71"/>
      <c r="TNE7" s="71"/>
      <c r="TNF7" s="71"/>
      <c r="TNG7" s="71"/>
      <c r="TNH7" s="71"/>
      <c r="TNI7" s="71"/>
      <c r="TNJ7" s="71"/>
      <c r="TNK7" s="71"/>
      <c r="TNL7" s="71"/>
      <c r="TNM7" s="71"/>
      <c r="TNN7" s="71"/>
      <c r="TNO7" s="71"/>
      <c r="TNP7" s="71"/>
      <c r="TNQ7" s="71"/>
      <c r="TNR7" s="71"/>
      <c r="TNS7" s="71"/>
      <c r="TNT7" s="71"/>
      <c r="TNU7" s="71"/>
      <c r="TNV7" s="71"/>
      <c r="TNW7" s="71"/>
      <c r="TNX7" s="71"/>
      <c r="TNY7" s="71"/>
      <c r="TNZ7" s="71"/>
      <c r="TOA7" s="71"/>
      <c r="TOB7" s="71"/>
      <c r="TOC7" s="71"/>
      <c r="TOD7" s="71"/>
      <c r="TOE7" s="71"/>
      <c r="TOF7" s="71"/>
      <c r="TOG7" s="71"/>
      <c r="TOH7" s="71"/>
      <c r="TOI7" s="71"/>
      <c r="TOJ7" s="71"/>
      <c r="TOK7" s="71"/>
      <c r="TOL7" s="71"/>
      <c r="TOM7" s="71"/>
      <c r="TON7" s="71"/>
      <c r="TOO7" s="71"/>
      <c r="TOP7" s="71"/>
      <c r="TOQ7" s="71"/>
      <c r="TOR7" s="71"/>
      <c r="TOS7" s="71"/>
      <c r="TOT7" s="71"/>
      <c r="TOU7" s="71"/>
      <c r="TOV7" s="71"/>
      <c r="TOW7" s="71"/>
      <c r="TOX7" s="71"/>
      <c r="TOY7" s="71"/>
      <c r="TOZ7" s="71"/>
      <c r="TPA7" s="71"/>
      <c r="TPB7" s="71"/>
      <c r="TPC7" s="71"/>
      <c r="TPD7" s="71"/>
      <c r="TPE7" s="71"/>
      <c r="TPF7" s="71"/>
      <c r="TPG7" s="71"/>
      <c r="TPH7" s="71"/>
      <c r="TPI7" s="71"/>
      <c r="TPJ7" s="71"/>
      <c r="TPK7" s="71"/>
      <c r="TPL7" s="71"/>
      <c r="TPM7" s="71"/>
      <c r="TPN7" s="71"/>
      <c r="TPO7" s="71"/>
      <c r="TPP7" s="71"/>
      <c r="TPQ7" s="71"/>
      <c r="TPR7" s="71"/>
      <c r="TPS7" s="71"/>
      <c r="TPT7" s="71"/>
      <c r="TPU7" s="71"/>
      <c r="TPV7" s="71"/>
      <c r="TPW7" s="71"/>
      <c r="TPX7" s="71"/>
      <c r="TPY7" s="71"/>
      <c r="TPZ7" s="71"/>
      <c r="TQA7" s="71"/>
      <c r="TQB7" s="71"/>
      <c r="TQC7" s="71"/>
      <c r="TQD7" s="71"/>
      <c r="TQE7" s="71"/>
      <c r="TQF7" s="71"/>
      <c r="TQG7" s="71"/>
      <c r="TQH7" s="71"/>
      <c r="TQI7" s="71"/>
      <c r="TQJ7" s="71"/>
      <c r="TQK7" s="71"/>
      <c r="TQL7" s="71"/>
      <c r="TQM7" s="71"/>
      <c r="TQN7" s="71"/>
      <c r="TQO7" s="71"/>
      <c r="TQP7" s="71"/>
      <c r="TQQ7" s="71"/>
      <c r="TQR7" s="71"/>
      <c r="TQS7" s="71"/>
      <c r="TQT7" s="71"/>
      <c r="TQU7" s="71"/>
      <c r="TQV7" s="71"/>
      <c r="TQW7" s="71"/>
      <c r="TQX7" s="71"/>
      <c r="TQY7" s="71"/>
      <c r="TQZ7" s="71"/>
      <c r="TRA7" s="71"/>
      <c r="TRB7" s="71"/>
      <c r="TRC7" s="71"/>
      <c r="TRD7" s="71"/>
      <c r="TRE7" s="71"/>
      <c r="TRF7" s="71"/>
      <c r="TRG7" s="71"/>
      <c r="TRH7" s="71"/>
      <c r="TRI7" s="71"/>
      <c r="TRJ7" s="71"/>
      <c r="TRK7" s="71"/>
      <c r="TRL7" s="71"/>
      <c r="TRM7" s="71"/>
      <c r="TRN7" s="71"/>
      <c r="TRO7" s="71"/>
      <c r="TRP7" s="71"/>
      <c r="TRQ7" s="71"/>
      <c r="TRR7" s="71"/>
      <c r="TRS7" s="71"/>
      <c r="TRT7" s="71"/>
      <c r="TRU7" s="71"/>
      <c r="TRV7" s="71"/>
      <c r="TRW7" s="71"/>
      <c r="TRX7" s="71"/>
      <c r="TRY7" s="71"/>
      <c r="TRZ7" s="71"/>
      <c r="TSA7" s="71"/>
      <c r="TSB7" s="71"/>
      <c r="TSC7" s="71"/>
      <c r="TSD7" s="71"/>
      <c r="TSE7" s="71"/>
      <c r="TSF7" s="71"/>
      <c r="TSG7" s="71"/>
      <c r="TSH7" s="71"/>
      <c r="TSI7" s="71"/>
      <c r="TSJ7" s="71"/>
      <c r="TSK7" s="71"/>
      <c r="TSL7" s="71"/>
      <c r="TSM7" s="71"/>
      <c r="TSN7" s="71"/>
      <c r="TSO7" s="71"/>
      <c r="TSP7" s="71"/>
      <c r="TSQ7" s="71"/>
      <c r="TSR7" s="71"/>
      <c r="TSS7" s="71"/>
      <c r="TST7" s="71"/>
      <c r="TSU7" s="71"/>
      <c r="TSV7" s="71"/>
      <c r="TSW7" s="71"/>
      <c r="TSX7" s="71"/>
      <c r="TSY7" s="71"/>
      <c r="TSZ7" s="71"/>
      <c r="TTA7" s="71"/>
      <c r="TTB7" s="71"/>
      <c r="TTC7" s="71"/>
      <c r="TTD7" s="71"/>
      <c r="TTE7" s="71"/>
      <c r="TTF7" s="71"/>
      <c r="TTG7" s="71"/>
      <c r="TTH7" s="71"/>
      <c r="TTI7" s="71"/>
      <c r="TTJ7" s="71"/>
      <c r="TTK7" s="71"/>
      <c r="TTL7" s="71"/>
      <c r="TTM7" s="71"/>
      <c r="TTN7" s="71"/>
      <c r="TTO7" s="71"/>
      <c r="TTP7" s="71"/>
      <c r="TTQ7" s="71"/>
      <c r="TTR7" s="71"/>
      <c r="TTS7" s="71"/>
      <c r="TTT7" s="71"/>
      <c r="TTU7" s="71"/>
      <c r="TTV7" s="71"/>
      <c r="TTW7" s="71"/>
      <c r="TTX7" s="71"/>
      <c r="TTY7" s="71"/>
      <c r="TTZ7" s="71"/>
      <c r="TUA7" s="71"/>
      <c r="TUB7" s="71"/>
      <c r="TUC7" s="71"/>
      <c r="TUD7" s="71"/>
      <c r="TUE7" s="71"/>
      <c r="TUF7" s="71"/>
      <c r="TUG7" s="71"/>
      <c r="TUH7" s="71"/>
      <c r="TUI7" s="71"/>
      <c r="TUJ7" s="71"/>
      <c r="TUK7" s="71"/>
      <c r="TUL7" s="71"/>
      <c r="TUM7" s="71"/>
      <c r="TUN7" s="71"/>
      <c r="TUO7" s="71"/>
      <c r="TUP7" s="71"/>
      <c r="TUQ7" s="71"/>
      <c r="TUR7" s="71"/>
      <c r="TUS7" s="71"/>
      <c r="TUT7" s="71"/>
      <c r="TUU7" s="71"/>
      <c r="TUV7" s="71"/>
      <c r="TUW7" s="71"/>
      <c r="TUX7" s="71"/>
      <c r="TUY7" s="71"/>
      <c r="TUZ7" s="71"/>
      <c r="TVA7" s="71"/>
      <c r="TVB7" s="71"/>
      <c r="TVC7" s="71"/>
      <c r="TVD7" s="71"/>
      <c r="TVE7" s="71"/>
      <c r="TVF7" s="71"/>
      <c r="TVG7" s="71"/>
      <c r="TVH7" s="71"/>
      <c r="TVI7" s="71"/>
      <c r="TVJ7" s="71"/>
      <c r="TVK7" s="71"/>
      <c r="TVL7" s="71"/>
      <c r="TVM7" s="71"/>
      <c r="TVN7" s="71"/>
      <c r="TVO7" s="71"/>
      <c r="TVP7" s="71"/>
      <c r="TVQ7" s="71"/>
      <c r="TVR7" s="71"/>
      <c r="TVS7" s="71"/>
      <c r="TVT7" s="71"/>
      <c r="TVU7" s="71"/>
      <c r="TVV7" s="71"/>
      <c r="TVW7" s="71"/>
      <c r="TVX7" s="71"/>
      <c r="TVY7" s="71"/>
      <c r="TVZ7" s="71"/>
      <c r="TWA7" s="71"/>
      <c r="TWB7" s="71"/>
      <c r="TWC7" s="71"/>
      <c r="TWD7" s="71"/>
      <c r="TWE7" s="71"/>
      <c r="TWF7" s="71"/>
      <c r="TWG7" s="71"/>
      <c r="TWH7" s="71"/>
      <c r="TWI7" s="71"/>
      <c r="TWJ7" s="71"/>
      <c r="TWK7" s="71"/>
      <c r="TWL7" s="71"/>
      <c r="TWM7" s="71"/>
      <c r="TWN7" s="71"/>
      <c r="TWO7" s="71"/>
      <c r="TWP7" s="71"/>
      <c r="TWQ7" s="71"/>
      <c r="TWR7" s="71"/>
      <c r="TWS7" s="71"/>
      <c r="TWT7" s="71"/>
      <c r="TWU7" s="71"/>
      <c r="TWV7" s="71"/>
      <c r="TWW7" s="71"/>
      <c r="TWX7" s="71"/>
      <c r="TWY7" s="71"/>
      <c r="TWZ7" s="71"/>
      <c r="TXA7" s="71"/>
      <c r="TXB7" s="71"/>
      <c r="TXC7" s="71"/>
      <c r="TXD7" s="71"/>
      <c r="TXE7" s="71"/>
      <c r="TXF7" s="71"/>
      <c r="TXG7" s="71"/>
      <c r="TXH7" s="71"/>
      <c r="TXI7" s="71"/>
      <c r="TXJ7" s="71"/>
      <c r="TXK7" s="71"/>
      <c r="TXL7" s="71"/>
      <c r="TXM7" s="71"/>
      <c r="TXN7" s="71"/>
      <c r="TXO7" s="71"/>
      <c r="TXP7" s="71"/>
      <c r="TXQ7" s="71"/>
      <c r="TXR7" s="71"/>
      <c r="TXS7" s="71"/>
      <c r="TXT7" s="71"/>
      <c r="TXU7" s="71"/>
      <c r="TXV7" s="71"/>
      <c r="TXW7" s="71"/>
      <c r="TXX7" s="71"/>
      <c r="TXY7" s="71"/>
      <c r="TXZ7" s="71"/>
      <c r="TYA7" s="71"/>
      <c r="TYB7" s="71"/>
      <c r="TYC7" s="71"/>
      <c r="TYD7" s="71"/>
      <c r="TYE7" s="71"/>
      <c r="TYF7" s="71"/>
      <c r="TYG7" s="71"/>
      <c r="TYH7" s="71"/>
      <c r="TYI7" s="71"/>
      <c r="TYJ7" s="71"/>
      <c r="TYK7" s="71"/>
      <c r="TYL7" s="71"/>
      <c r="TYM7" s="71"/>
      <c r="TYN7" s="71"/>
      <c r="TYO7" s="71"/>
      <c r="TYP7" s="71"/>
      <c r="TYQ7" s="71"/>
      <c r="TYR7" s="71"/>
      <c r="TYS7" s="71"/>
      <c r="TYT7" s="71"/>
      <c r="TYU7" s="71"/>
      <c r="TYV7" s="71"/>
      <c r="TYW7" s="71"/>
      <c r="TYX7" s="71"/>
      <c r="TYY7" s="71"/>
      <c r="TYZ7" s="71"/>
      <c r="TZA7" s="71"/>
      <c r="TZB7" s="71"/>
      <c r="TZC7" s="71"/>
      <c r="TZD7" s="71"/>
      <c r="TZE7" s="71"/>
      <c r="TZF7" s="71"/>
      <c r="TZG7" s="71"/>
      <c r="TZH7" s="71"/>
      <c r="TZI7" s="71"/>
      <c r="TZJ7" s="71"/>
      <c r="TZK7" s="71"/>
      <c r="TZL7" s="71"/>
      <c r="TZM7" s="71"/>
      <c r="TZN7" s="71"/>
      <c r="TZO7" s="71"/>
      <c r="TZP7" s="71"/>
      <c r="TZQ7" s="71"/>
      <c r="TZR7" s="71"/>
      <c r="TZS7" s="71"/>
      <c r="TZT7" s="71"/>
      <c r="TZU7" s="71"/>
      <c r="TZV7" s="71"/>
      <c r="TZW7" s="71"/>
      <c r="TZX7" s="71"/>
      <c r="TZY7" s="71"/>
      <c r="TZZ7" s="71"/>
      <c r="UAA7" s="71"/>
      <c r="UAB7" s="71"/>
      <c r="UAC7" s="71"/>
      <c r="UAD7" s="71"/>
      <c r="UAE7" s="71"/>
      <c r="UAF7" s="71"/>
      <c r="UAG7" s="71"/>
      <c r="UAH7" s="71"/>
      <c r="UAI7" s="71"/>
      <c r="UAJ7" s="71"/>
      <c r="UAK7" s="71"/>
      <c r="UAL7" s="71"/>
      <c r="UAM7" s="71"/>
      <c r="UAN7" s="71"/>
      <c r="UAO7" s="71"/>
      <c r="UAP7" s="71"/>
      <c r="UAQ7" s="71"/>
      <c r="UAR7" s="71"/>
      <c r="UAS7" s="71"/>
      <c r="UAT7" s="71"/>
      <c r="UAU7" s="71"/>
      <c r="UAV7" s="71"/>
      <c r="UAW7" s="71"/>
      <c r="UAX7" s="71"/>
      <c r="UAY7" s="71"/>
      <c r="UAZ7" s="71"/>
      <c r="UBA7" s="71"/>
      <c r="UBB7" s="71"/>
      <c r="UBC7" s="71"/>
      <c r="UBD7" s="71"/>
      <c r="UBE7" s="71"/>
      <c r="UBF7" s="71"/>
      <c r="UBG7" s="71"/>
      <c r="UBH7" s="71"/>
      <c r="UBI7" s="71"/>
      <c r="UBJ7" s="71"/>
      <c r="UBK7" s="71"/>
      <c r="UBL7" s="71"/>
      <c r="UBM7" s="71"/>
      <c r="UBN7" s="71"/>
      <c r="UBO7" s="71"/>
      <c r="UBP7" s="71"/>
      <c r="UBQ7" s="71"/>
      <c r="UBR7" s="71"/>
      <c r="UBS7" s="71"/>
      <c r="UBT7" s="71"/>
      <c r="UBU7" s="71"/>
      <c r="UBV7" s="71"/>
      <c r="UBW7" s="71"/>
      <c r="UBX7" s="71"/>
      <c r="UBY7" s="71"/>
      <c r="UBZ7" s="71"/>
      <c r="UCA7" s="71"/>
      <c r="UCB7" s="71"/>
      <c r="UCC7" s="71"/>
      <c r="UCD7" s="71"/>
      <c r="UCE7" s="71"/>
      <c r="UCF7" s="71"/>
      <c r="UCG7" s="71"/>
      <c r="UCH7" s="71"/>
      <c r="UCI7" s="71"/>
      <c r="UCJ7" s="71"/>
      <c r="UCK7" s="71"/>
      <c r="UCL7" s="71"/>
      <c r="UCM7" s="71"/>
      <c r="UCN7" s="71"/>
      <c r="UCO7" s="71"/>
      <c r="UCP7" s="71"/>
      <c r="UCQ7" s="71"/>
      <c r="UCR7" s="71"/>
      <c r="UCS7" s="71"/>
      <c r="UCT7" s="71"/>
      <c r="UCU7" s="71"/>
      <c r="UCV7" s="71"/>
      <c r="UCW7" s="71"/>
      <c r="UCX7" s="71"/>
      <c r="UCY7" s="71"/>
      <c r="UCZ7" s="71"/>
      <c r="UDA7" s="71"/>
      <c r="UDB7" s="71"/>
      <c r="UDC7" s="71"/>
      <c r="UDD7" s="71"/>
      <c r="UDE7" s="71"/>
      <c r="UDF7" s="71"/>
      <c r="UDG7" s="71"/>
      <c r="UDH7" s="71"/>
      <c r="UDI7" s="71"/>
      <c r="UDJ7" s="71"/>
      <c r="UDK7" s="71"/>
      <c r="UDL7" s="71"/>
      <c r="UDM7" s="71"/>
      <c r="UDN7" s="71"/>
      <c r="UDO7" s="71"/>
      <c r="UDP7" s="71"/>
      <c r="UDQ7" s="71"/>
      <c r="UDR7" s="71"/>
      <c r="UDS7" s="71"/>
      <c r="UDT7" s="71"/>
      <c r="UDU7" s="71"/>
      <c r="UDV7" s="71"/>
      <c r="UDW7" s="71"/>
      <c r="UDX7" s="71"/>
      <c r="UDY7" s="71"/>
      <c r="UDZ7" s="71"/>
      <c r="UEA7" s="71"/>
      <c r="UEB7" s="71"/>
      <c r="UEC7" s="71"/>
      <c r="UED7" s="71"/>
      <c r="UEE7" s="71"/>
      <c r="UEF7" s="71"/>
      <c r="UEG7" s="71"/>
      <c r="UEH7" s="71"/>
      <c r="UEI7" s="71"/>
      <c r="UEJ7" s="71"/>
      <c r="UEK7" s="71"/>
      <c r="UEL7" s="71"/>
      <c r="UEM7" s="71"/>
      <c r="UEN7" s="71"/>
      <c r="UEO7" s="71"/>
      <c r="UEP7" s="71"/>
      <c r="UEQ7" s="71"/>
      <c r="UER7" s="71"/>
      <c r="UES7" s="71"/>
      <c r="UET7" s="71"/>
      <c r="UEU7" s="71"/>
      <c r="UEV7" s="71"/>
      <c r="UEW7" s="71"/>
      <c r="UEX7" s="71"/>
      <c r="UEY7" s="71"/>
      <c r="UEZ7" s="71"/>
      <c r="UFA7" s="71"/>
      <c r="UFB7" s="71"/>
      <c r="UFC7" s="71"/>
      <c r="UFD7" s="71"/>
      <c r="UFE7" s="71"/>
      <c r="UFF7" s="71"/>
      <c r="UFG7" s="71"/>
      <c r="UFH7" s="71"/>
      <c r="UFI7" s="71"/>
      <c r="UFJ7" s="71"/>
      <c r="UFK7" s="71"/>
      <c r="UFL7" s="71"/>
      <c r="UFM7" s="71"/>
      <c r="UFN7" s="71"/>
      <c r="UFO7" s="71"/>
      <c r="UFP7" s="71"/>
      <c r="UFQ7" s="71"/>
      <c r="UFR7" s="71"/>
      <c r="UFS7" s="71"/>
      <c r="UFT7" s="71"/>
      <c r="UFU7" s="71"/>
      <c r="UFV7" s="71"/>
      <c r="UFW7" s="71"/>
      <c r="UFX7" s="71"/>
      <c r="UFY7" s="71"/>
      <c r="UFZ7" s="71"/>
      <c r="UGA7" s="71"/>
      <c r="UGB7" s="71"/>
      <c r="UGC7" s="71"/>
      <c r="UGD7" s="71"/>
      <c r="UGE7" s="71"/>
      <c r="UGF7" s="71"/>
      <c r="UGG7" s="71"/>
      <c r="UGH7" s="71"/>
      <c r="UGI7" s="71"/>
      <c r="UGJ7" s="71"/>
      <c r="UGK7" s="71"/>
      <c r="UGL7" s="71"/>
      <c r="UGM7" s="71"/>
      <c r="UGN7" s="71"/>
      <c r="UGO7" s="71"/>
      <c r="UGP7" s="71"/>
      <c r="UGQ7" s="71"/>
      <c r="UGR7" s="71"/>
      <c r="UGS7" s="71"/>
      <c r="UGT7" s="71"/>
      <c r="UGU7" s="71"/>
      <c r="UGV7" s="71"/>
      <c r="UGW7" s="71"/>
      <c r="UGX7" s="71"/>
      <c r="UGY7" s="71"/>
      <c r="UGZ7" s="71"/>
      <c r="UHA7" s="71"/>
      <c r="UHB7" s="71"/>
      <c r="UHC7" s="71"/>
      <c r="UHD7" s="71"/>
      <c r="UHE7" s="71"/>
      <c r="UHF7" s="71"/>
      <c r="UHG7" s="71"/>
      <c r="UHH7" s="71"/>
      <c r="UHI7" s="71"/>
      <c r="UHJ7" s="71"/>
      <c r="UHK7" s="71"/>
      <c r="UHL7" s="71"/>
      <c r="UHM7" s="71"/>
      <c r="UHN7" s="71"/>
      <c r="UHO7" s="71"/>
      <c r="UHP7" s="71"/>
      <c r="UHQ7" s="71"/>
      <c r="UHR7" s="71"/>
      <c r="UHS7" s="71"/>
      <c r="UHT7" s="71"/>
      <c r="UHU7" s="71"/>
      <c r="UHV7" s="71"/>
      <c r="UHW7" s="71"/>
      <c r="UHX7" s="71"/>
      <c r="UHY7" s="71"/>
      <c r="UHZ7" s="71"/>
      <c r="UIA7" s="71"/>
      <c r="UIB7" s="71"/>
      <c r="UIC7" s="71"/>
      <c r="UID7" s="71"/>
      <c r="UIE7" s="71"/>
      <c r="UIF7" s="71"/>
      <c r="UIG7" s="71"/>
      <c r="UIH7" s="71"/>
      <c r="UII7" s="71"/>
      <c r="UIJ7" s="71"/>
      <c r="UIK7" s="71"/>
      <c r="UIL7" s="71"/>
      <c r="UIM7" s="71"/>
      <c r="UIN7" s="71"/>
      <c r="UIO7" s="71"/>
      <c r="UIP7" s="71"/>
      <c r="UIQ7" s="71"/>
      <c r="UIR7" s="71"/>
      <c r="UIS7" s="71"/>
      <c r="UIT7" s="71"/>
      <c r="UIU7" s="71"/>
      <c r="UIV7" s="71"/>
      <c r="UIW7" s="71"/>
      <c r="UIX7" s="71"/>
      <c r="UIY7" s="71"/>
      <c r="UIZ7" s="71"/>
      <c r="UJA7" s="71"/>
      <c r="UJB7" s="71"/>
      <c r="UJC7" s="71"/>
      <c r="UJD7" s="71"/>
      <c r="UJE7" s="71"/>
      <c r="UJF7" s="71"/>
      <c r="UJG7" s="71"/>
      <c r="UJH7" s="71"/>
      <c r="UJI7" s="71"/>
      <c r="UJJ7" s="71"/>
      <c r="UJK7" s="71"/>
      <c r="UJL7" s="71"/>
      <c r="UJM7" s="71"/>
      <c r="UJN7" s="71"/>
      <c r="UJO7" s="71"/>
      <c r="UJP7" s="71"/>
      <c r="UJQ7" s="71"/>
      <c r="UJR7" s="71"/>
      <c r="UJS7" s="71"/>
      <c r="UJT7" s="71"/>
      <c r="UJU7" s="71"/>
      <c r="UJV7" s="71"/>
      <c r="UJW7" s="71"/>
      <c r="UJX7" s="71"/>
      <c r="UJY7" s="71"/>
      <c r="UJZ7" s="71"/>
      <c r="UKA7" s="71"/>
      <c r="UKB7" s="71"/>
      <c r="UKC7" s="71"/>
      <c r="UKD7" s="71"/>
      <c r="UKE7" s="71"/>
      <c r="UKF7" s="71"/>
      <c r="UKG7" s="71"/>
      <c r="UKH7" s="71"/>
      <c r="UKI7" s="71"/>
      <c r="UKJ7" s="71"/>
      <c r="UKK7" s="71"/>
      <c r="UKL7" s="71"/>
      <c r="UKM7" s="71"/>
      <c r="UKN7" s="71"/>
      <c r="UKO7" s="71"/>
      <c r="UKP7" s="71"/>
      <c r="UKQ7" s="71"/>
      <c r="UKR7" s="71"/>
      <c r="UKS7" s="71"/>
      <c r="UKT7" s="71"/>
      <c r="UKU7" s="71"/>
      <c r="UKV7" s="71"/>
      <c r="UKW7" s="71"/>
      <c r="UKX7" s="71"/>
      <c r="UKY7" s="71"/>
      <c r="UKZ7" s="71"/>
      <c r="ULA7" s="71"/>
      <c r="ULB7" s="71"/>
      <c r="ULC7" s="71"/>
      <c r="ULD7" s="71"/>
      <c r="ULE7" s="71"/>
      <c r="ULF7" s="71"/>
      <c r="ULG7" s="71"/>
      <c r="ULH7" s="71"/>
      <c r="ULI7" s="71"/>
      <c r="ULJ7" s="71"/>
      <c r="ULK7" s="71"/>
      <c r="ULL7" s="71"/>
      <c r="ULM7" s="71"/>
      <c r="ULN7" s="71"/>
      <c r="ULO7" s="71"/>
      <c r="ULP7" s="71"/>
      <c r="ULQ7" s="71"/>
      <c r="ULR7" s="71"/>
      <c r="ULS7" s="71"/>
      <c r="ULT7" s="71"/>
      <c r="ULU7" s="71"/>
      <c r="ULV7" s="71"/>
      <c r="ULW7" s="71"/>
      <c r="ULX7" s="71"/>
      <c r="ULY7" s="71"/>
      <c r="ULZ7" s="71"/>
      <c r="UMA7" s="71"/>
      <c r="UMB7" s="71"/>
      <c r="UMC7" s="71"/>
      <c r="UMD7" s="71"/>
      <c r="UME7" s="71"/>
      <c r="UMF7" s="71"/>
      <c r="UMG7" s="71"/>
      <c r="UMH7" s="71"/>
      <c r="UMI7" s="71"/>
      <c r="UMJ7" s="71"/>
      <c r="UMK7" s="71"/>
      <c r="UML7" s="71"/>
      <c r="UMM7" s="71"/>
      <c r="UMN7" s="71"/>
      <c r="UMO7" s="71"/>
      <c r="UMP7" s="71"/>
      <c r="UMQ7" s="71"/>
      <c r="UMR7" s="71"/>
      <c r="UMS7" s="71"/>
      <c r="UMT7" s="71"/>
      <c r="UMU7" s="71"/>
      <c r="UMV7" s="71"/>
      <c r="UMW7" s="71"/>
      <c r="UMX7" s="71"/>
      <c r="UMY7" s="71"/>
      <c r="UMZ7" s="71"/>
      <c r="UNA7" s="71"/>
      <c r="UNB7" s="71"/>
      <c r="UNC7" s="71"/>
      <c r="UND7" s="71"/>
      <c r="UNE7" s="71"/>
      <c r="UNF7" s="71"/>
      <c r="UNG7" s="71"/>
      <c r="UNH7" s="71"/>
      <c r="UNI7" s="71"/>
      <c r="UNJ7" s="71"/>
      <c r="UNK7" s="71"/>
      <c r="UNL7" s="71"/>
      <c r="UNM7" s="71"/>
      <c r="UNN7" s="71"/>
      <c r="UNO7" s="71"/>
      <c r="UNP7" s="71"/>
      <c r="UNQ7" s="71"/>
      <c r="UNR7" s="71"/>
      <c r="UNS7" s="71"/>
      <c r="UNT7" s="71"/>
      <c r="UNU7" s="71"/>
      <c r="UNV7" s="71"/>
      <c r="UNW7" s="71"/>
      <c r="UNX7" s="71"/>
      <c r="UNY7" s="71"/>
      <c r="UNZ7" s="71"/>
      <c r="UOA7" s="71"/>
      <c r="UOB7" s="71"/>
      <c r="UOC7" s="71"/>
      <c r="UOD7" s="71"/>
      <c r="UOE7" s="71"/>
      <c r="UOF7" s="71"/>
      <c r="UOG7" s="71"/>
      <c r="UOH7" s="71"/>
      <c r="UOI7" s="71"/>
      <c r="UOJ7" s="71"/>
      <c r="UOK7" s="71"/>
      <c r="UOL7" s="71"/>
      <c r="UOM7" s="71"/>
      <c r="UON7" s="71"/>
      <c r="UOO7" s="71"/>
      <c r="UOP7" s="71"/>
      <c r="UOQ7" s="71"/>
      <c r="UOR7" s="71"/>
      <c r="UOS7" s="71"/>
      <c r="UOT7" s="71"/>
      <c r="UOU7" s="71"/>
      <c r="UOV7" s="71"/>
      <c r="UOW7" s="71"/>
      <c r="UOX7" s="71"/>
      <c r="UOY7" s="71"/>
      <c r="UOZ7" s="71"/>
      <c r="UPA7" s="71"/>
      <c r="UPB7" s="71"/>
      <c r="UPC7" s="71"/>
      <c r="UPD7" s="71"/>
      <c r="UPE7" s="71"/>
      <c r="UPF7" s="71"/>
      <c r="UPG7" s="71"/>
      <c r="UPH7" s="71"/>
      <c r="UPI7" s="71"/>
      <c r="UPJ7" s="71"/>
      <c r="UPK7" s="71"/>
      <c r="UPL7" s="71"/>
      <c r="UPM7" s="71"/>
      <c r="UPN7" s="71"/>
      <c r="UPO7" s="71"/>
      <c r="UPP7" s="71"/>
      <c r="UPQ7" s="71"/>
      <c r="UPR7" s="71"/>
      <c r="UPS7" s="71"/>
      <c r="UPT7" s="71"/>
      <c r="UPU7" s="71"/>
      <c r="UPV7" s="71"/>
      <c r="UPW7" s="71"/>
      <c r="UPX7" s="71"/>
      <c r="UPY7" s="71"/>
      <c r="UPZ7" s="71"/>
      <c r="UQA7" s="71"/>
      <c r="UQB7" s="71"/>
      <c r="UQC7" s="71"/>
      <c r="UQD7" s="71"/>
      <c r="UQE7" s="71"/>
      <c r="UQF7" s="71"/>
      <c r="UQG7" s="71"/>
      <c r="UQH7" s="71"/>
      <c r="UQI7" s="71"/>
      <c r="UQJ7" s="71"/>
      <c r="UQK7" s="71"/>
      <c r="UQL7" s="71"/>
      <c r="UQM7" s="71"/>
      <c r="UQN7" s="71"/>
      <c r="UQO7" s="71"/>
      <c r="UQP7" s="71"/>
      <c r="UQQ7" s="71"/>
      <c r="UQR7" s="71"/>
      <c r="UQS7" s="71"/>
      <c r="UQT7" s="71"/>
      <c r="UQU7" s="71"/>
      <c r="UQV7" s="71"/>
      <c r="UQW7" s="71"/>
      <c r="UQX7" s="71"/>
      <c r="UQY7" s="71"/>
      <c r="UQZ7" s="71"/>
      <c r="URA7" s="71"/>
      <c r="URB7" s="71"/>
      <c r="URC7" s="71"/>
      <c r="URD7" s="71"/>
      <c r="URE7" s="71"/>
      <c r="URF7" s="71"/>
      <c r="URG7" s="71"/>
      <c r="URH7" s="71"/>
      <c r="URI7" s="71"/>
      <c r="URJ7" s="71"/>
      <c r="URK7" s="71"/>
      <c r="URL7" s="71"/>
      <c r="URM7" s="71"/>
      <c r="URN7" s="71"/>
      <c r="URO7" s="71"/>
      <c r="URP7" s="71"/>
      <c r="URQ7" s="71"/>
      <c r="URR7" s="71"/>
      <c r="URS7" s="71"/>
      <c r="URT7" s="71"/>
      <c r="URU7" s="71"/>
      <c r="URV7" s="71"/>
      <c r="URW7" s="71"/>
      <c r="URX7" s="71"/>
      <c r="URY7" s="71"/>
      <c r="URZ7" s="71"/>
      <c r="USA7" s="71"/>
      <c r="USB7" s="71"/>
      <c r="USC7" s="71"/>
      <c r="USD7" s="71"/>
      <c r="USE7" s="71"/>
      <c r="USF7" s="71"/>
      <c r="USG7" s="71"/>
      <c r="USH7" s="71"/>
      <c r="USI7" s="71"/>
      <c r="USJ7" s="71"/>
      <c r="USK7" s="71"/>
      <c r="USL7" s="71"/>
      <c r="USM7" s="71"/>
      <c r="USN7" s="71"/>
      <c r="USO7" s="71"/>
      <c r="USP7" s="71"/>
      <c r="USQ7" s="71"/>
      <c r="USR7" s="71"/>
      <c r="USS7" s="71"/>
      <c r="UST7" s="71"/>
      <c r="USU7" s="71"/>
      <c r="USV7" s="71"/>
      <c r="USW7" s="71"/>
      <c r="USX7" s="71"/>
      <c r="USY7" s="71"/>
      <c r="USZ7" s="71"/>
      <c r="UTA7" s="71"/>
      <c r="UTB7" s="71"/>
      <c r="UTC7" s="71"/>
      <c r="UTD7" s="71"/>
      <c r="UTE7" s="71"/>
      <c r="UTF7" s="71"/>
      <c r="UTG7" s="71"/>
      <c r="UTH7" s="71"/>
      <c r="UTI7" s="71"/>
      <c r="UTJ7" s="71"/>
      <c r="UTK7" s="71"/>
      <c r="UTL7" s="71"/>
      <c r="UTM7" s="71"/>
      <c r="UTN7" s="71"/>
      <c r="UTO7" s="71"/>
      <c r="UTP7" s="71"/>
      <c r="UTQ7" s="71"/>
      <c r="UTR7" s="71"/>
      <c r="UTS7" s="71"/>
      <c r="UTT7" s="71"/>
      <c r="UTU7" s="71"/>
      <c r="UTV7" s="71"/>
      <c r="UTW7" s="71"/>
      <c r="UTX7" s="71"/>
      <c r="UTY7" s="71"/>
      <c r="UTZ7" s="71"/>
      <c r="UUA7" s="71"/>
      <c r="UUB7" s="71"/>
      <c r="UUC7" s="71"/>
      <c r="UUD7" s="71"/>
      <c r="UUE7" s="71"/>
      <c r="UUF7" s="71"/>
      <c r="UUG7" s="71"/>
      <c r="UUH7" s="71"/>
      <c r="UUI7" s="71"/>
      <c r="UUJ7" s="71"/>
      <c r="UUK7" s="71"/>
      <c r="UUL7" s="71"/>
      <c r="UUM7" s="71"/>
      <c r="UUN7" s="71"/>
      <c r="UUO7" s="71"/>
      <c r="UUP7" s="71"/>
      <c r="UUQ7" s="71"/>
      <c r="UUR7" s="71"/>
      <c r="UUS7" s="71"/>
      <c r="UUT7" s="71"/>
      <c r="UUU7" s="71"/>
      <c r="UUV7" s="71"/>
      <c r="UUW7" s="71"/>
      <c r="UUX7" s="71"/>
      <c r="UUY7" s="71"/>
      <c r="UUZ7" s="71"/>
      <c r="UVA7" s="71"/>
      <c r="UVB7" s="71"/>
      <c r="UVC7" s="71"/>
      <c r="UVD7" s="71"/>
      <c r="UVE7" s="71"/>
      <c r="UVF7" s="71"/>
      <c r="UVG7" s="71"/>
      <c r="UVH7" s="71"/>
      <c r="UVI7" s="71"/>
      <c r="UVJ7" s="71"/>
      <c r="UVK7" s="71"/>
      <c r="UVL7" s="71"/>
      <c r="UVM7" s="71"/>
      <c r="UVN7" s="71"/>
      <c r="UVO7" s="71"/>
      <c r="UVP7" s="71"/>
      <c r="UVQ7" s="71"/>
      <c r="UVR7" s="71"/>
      <c r="UVS7" s="71"/>
      <c r="UVT7" s="71"/>
      <c r="UVU7" s="71"/>
      <c r="UVV7" s="71"/>
      <c r="UVW7" s="71"/>
      <c r="UVX7" s="71"/>
      <c r="UVY7" s="71"/>
      <c r="UVZ7" s="71"/>
      <c r="UWA7" s="71"/>
      <c r="UWB7" s="71"/>
      <c r="UWC7" s="71"/>
      <c r="UWD7" s="71"/>
      <c r="UWE7" s="71"/>
      <c r="UWF7" s="71"/>
      <c r="UWG7" s="71"/>
      <c r="UWH7" s="71"/>
      <c r="UWI7" s="71"/>
      <c r="UWJ7" s="71"/>
      <c r="UWK7" s="71"/>
      <c r="UWL7" s="71"/>
      <c r="UWM7" s="71"/>
      <c r="UWN7" s="71"/>
      <c r="UWO7" s="71"/>
      <c r="UWP7" s="71"/>
      <c r="UWQ7" s="71"/>
      <c r="UWR7" s="71"/>
      <c r="UWS7" s="71"/>
      <c r="UWT7" s="71"/>
      <c r="UWU7" s="71"/>
      <c r="UWV7" s="71"/>
      <c r="UWW7" s="71"/>
      <c r="UWX7" s="71"/>
      <c r="UWY7" s="71"/>
      <c r="UWZ7" s="71"/>
      <c r="UXA7" s="71"/>
      <c r="UXB7" s="71"/>
      <c r="UXC7" s="71"/>
      <c r="UXD7" s="71"/>
      <c r="UXE7" s="71"/>
      <c r="UXF7" s="71"/>
      <c r="UXG7" s="71"/>
      <c r="UXH7" s="71"/>
      <c r="UXI7" s="71"/>
      <c r="UXJ7" s="71"/>
      <c r="UXK7" s="71"/>
      <c r="UXL7" s="71"/>
      <c r="UXM7" s="71"/>
      <c r="UXN7" s="71"/>
      <c r="UXO7" s="71"/>
      <c r="UXP7" s="71"/>
      <c r="UXQ7" s="71"/>
      <c r="UXR7" s="71"/>
      <c r="UXS7" s="71"/>
      <c r="UXT7" s="71"/>
      <c r="UXU7" s="71"/>
      <c r="UXV7" s="71"/>
      <c r="UXW7" s="71"/>
      <c r="UXX7" s="71"/>
      <c r="UXY7" s="71"/>
      <c r="UXZ7" s="71"/>
      <c r="UYA7" s="71"/>
      <c r="UYB7" s="71"/>
      <c r="UYC7" s="71"/>
      <c r="UYD7" s="71"/>
      <c r="UYE7" s="71"/>
      <c r="UYF7" s="71"/>
      <c r="UYG7" s="71"/>
      <c r="UYH7" s="71"/>
      <c r="UYI7" s="71"/>
      <c r="UYJ7" s="71"/>
      <c r="UYK7" s="71"/>
      <c r="UYL7" s="71"/>
      <c r="UYM7" s="71"/>
      <c r="UYN7" s="71"/>
      <c r="UYO7" s="71"/>
      <c r="UYP7" s="71"/>
      <c r="UYQ7" s="71"/>
      <c r="UYR7" s="71"/>
      <c r="UYS7" s="71"/>
      <c r="UYT7" s="71"/>
      <c r="UYU7" s="71"/>
      <c r="UYV7" s="71"/>
      <c r="UYW7" s="71"/>
      <c r="UYX7" s="71"/>
      <c r="UYY7" s="71"/>
      <c r="UYZ7" s="71"/>
      <c r="UZA7" s="71"/>
      <c r="UZB7" s="71"/>
      <c r="UZC7" s="71"/>
      <c r="UZD7" s="71"/>
      <c r="UZE7" s="71"/>
      <c r="UZF7" s="71"/>
      <c r="UZG7" s="71"/>
      <c r="UZH7" s="71"/>
      <c r="UZI7" s="71"/>
      <c r="UZJ7" s="71"/>
      <c r="UZK7" s="71"/>
      <c r="UZL7" s="71"/>
      <c r="UZM7" s="71"/>
      <c r="UZN7" s="71"/>
      <c r="UZO7" s="71"/>
      <c r="UZP7" s="71"/>
      <c r="UZQ7" s="71"/>
      <c r="UZR7" s="71"/>
      <c r="UZS7" s="71"/>
      <c r="UZT7" s="71"/>
      <c r="UZU7" s="71"/>
      <c r="UZV7" s="71"/>
      <c r="UZW7" s="71"/>
      <c r="UZX7" s="71"/>
      <c r="UZY7" s="71"/>
      <c r="UZZ7" s="71"/>
      <c r="VAA7" s="71"/>
      <c r="VAB7" s="71"/>
      <c r="VAC7" s="71"/>
      <c r="VAD7" s="71"/>
      <c r="VAE7" s="71"/>
      <c r="VAF7" s="71"/>
      <c r="VAG7" s="71"/>
      <c r="VAH7" s="71"/>
      <c r="VAI7" s="71"/>
      <c r="VAJ7" s="71"/>
      <c r="VAK7" s="71"/>
      <c r="VAL7" s="71"/>
      <c r="VAM7" s="71"/>
      <c r="VAN7" s="71"/>
      <c r="VAO7" s="71"/>
      <c r="VAP7" s="71"/>
      <c r="VAQ7" s="71"/>
      <c r="VAR7" s="71"/>
      <c r="VAS7" s="71"/>
      <c r="VAT7" s="71"/>
      <c r="VAU7" s="71"/>
      <c r="VAV7" s="71"/>
      <c r="VAW7" s="71"/>
      <c r="VAX7" s="71"/>
      <c r="VAY7" s="71"/>
      <c r="VAZ7" s="71"/>
      <c r="VBA7" s="71"/>
      <c r="VBB7" s="71"/>
      <c r="VBC7" s="71"/>
      <c r="VBD7" s="71"/>
      <c r="VBE7" s="71"/>
      <c r="VBF7" s="71"/>
      <c r="VBG7" s="71"/>
      <c r="VBH7" s="71"/>
      <c r="VBI7" s="71"/>
      <c r="VBJ7" s="71"/>
      <c r="VBK7" s="71"/>
      <c r="VBL7" s="71"/>
      <c r="VBM7" s="71"/>
      <c r="VBN7" s="71"/>
      <c r="VBO7" s="71"/>
      <c r="VBP7" s="71"/>
      <c r="VBQ7" s="71"/>
      <c r="VBR7" s="71"/>
      <c r="VBS7" s="71"/>
      <c r="VBT7" s="71"/>
      <c r="VBU7" s="71"/>
      <c r="VBV7" s="71"/>
      <c r="VBW7" s="71"/>
      <c r="VBX7" s="71"/>
      <c r="VBY7" s="71"/>
      <c r="VBZ7" s="71"/>
      <c r="VCA7" s="71"/>
      <c r="VCB7" s="71"/>
      <c r="VCC7" s="71"/>
      <c r="VCD7" s="71"/>
      <c r="VCE7" s="71"/>
      <c r="VCF7" s="71"/>
      <c r="VCG7" s="71"/>
      <c r="VCH7" s="71"/>
      <c r="VCI7" s="71"/>
      <c r="VCJ7" s="71"/>
      <c r="VCK7" s="71"/>
      <c r="VCL7" s="71"/>
      <c r="VCM7" s="71"/>
      <c r="VCN7" s="71"/>
      <c r="VCO7" s="71"/>
      <c r="VCP7" s="71"/>
      <c r="VCQ7" s="71"/>
      <c r="VCR7" s="71"/>
      <c r="VCS7" s="71"/>
      <c r="VCT7" s="71"/>
      <c r="VCU7" s="71"/>
      <c r="VCV7" s="71"/>
      <c r="VCW7" s="71"/>
      <c r="VCX7" s="71"/>
      <c r="VCY7" s="71"/>
      <c r="VCZ7" s="71"/>
      <c r="VDA7" s="71"/>
      <c r="VDB7" s="71"/>
      <c r="VDC7" s="71"/>
      <c r="VDD7" s="71"/>
      <c r="VDE7" s="71"/>
      <c r="VDF7" s="71"/>
      <c r="VDG7" s="71"/>
      <c r="VDH7" s="71"/>
      <c r="VDI7" s="71"/>
      <c r="VDJ7" s="71"/>
      <c r="VDK7" s="71"/>
      <c r="VDL7" s="71"/>
      <c r="VDM7" s="71"/>
      <c r="VDN7" s="71"/>
      <c r="VDO7" s="71"/>
      <c r="VDP7" s="71"/>
      <c r="VDQ7" s="71"/>
      <c r="VDR7" s="71"/>
      <c r="VDS7" s="71"/>
      <c r="VDT7" s="71"/>
      <c r="VDU7" s="71"/>
      <c r="VDV7" s="71"/>
      <c r="VDW7" s="71"/>
      <c r="VDX7" s="71"/>
      <c r="VDY7" s="71"/>
      <c r="VDZ7" s="71"/>
      <c r="VEA7" s="71"/>
      <c r="VEB7" s="71"/>
      <c r="VEC7" s="71"/>
      <c r="VED7" s="71"/>
      <c r="VEE7" s="71"/>
      <c r="VEF7" s="71"/>
      <c r="VEG7" s="71"/>
      <c r="VEH7" s="71"/>
      <c r="VEI7" s="71"/>
      <c r="VEJ7" s="71"/>
      <c r="VEK7" s="71"/>
      <c r="VEL7" s="71"/>
      <c r="VEM7" s="71"/>
      <c r="VEN7" s="71"/>
      <c r="VEO7" s="71"/>
      <c r="VEP7" s="71"/>
      <c r="VEQ7" s="71"/>
      <c r="VER7" s="71"/>
      <c r="VES7" s="71"/>
      <c r="VET7" s="71"/>
      <c r="VEU7" s="71"/>
      <c r="VEV7" s="71"/>
      <c r="VEW7" s="71"/>
      <c r="VEX7" s="71"/>
      <c r="VEY7" s="71"/>
      <c r="VEZ7" s="71"/>
      <c r="VFA7" s="71"/>
      <c r="VFB7" s="71"/>
      <c r="VFC7" s="71"/>
      <c r="VFD7" s="71"/>
      <c r="VFE7" s="71"/>
      <c r="VFF7" s="71"/>
      <c r="VFG7" s="71"/>
      <c r="VFH7" s="71"/>
      <c r="VFI7" s="71"/>
      <c r="VFJ7" s="71"/>
      <c r="VFK7" s="71"/>
      <c r="VFL7" s="71"/>
      <c r="VFM7" s="71"/>
      <c r="VFN7" s="71"/>
      <c r="VFO7" s="71"/>
      <c r="VFP7" s="71"/>
      <c r="VFQ7" s="71"/>
      <c r="VFR7" s="71"/>
      <c r="VFS7" s="71"/>
      <c r="VFT7" s="71"/>
      <c r="VFU7" s="71"/>
      <c r="VFV7" s="71"/>
      <c r="VFW7" s="71"/>
      <c r="VFX7" s="71"/>
      <c r="VFY7" s="71"/>
      <c r="VFZ7" s="71"/>
      <c r="VGA7" s="71"/>
      <c r="VGB7" s="71"/>
      <c r="VGC7" s="71"/>
      <c r="VGD7" s="71"/>
      <c r="VGE7" s="71"/>
      <c r="VGF7" s="71"/>
      <c r="VGG7" s="71"/>
      <c r="VGH7" s="71"/>
      <c r="VGI7" s="71"/>
      <c r="VGJ7" s="71"/>
      <c r="VGK7" s="71"/>
      <c r="VGL7" s="71"/>
      <c r="VGM7" s="71"/>
      <c r="VGN7" s="71"/>
      <c r="VGO7" s="71"/>
      <c r="VGP7" s="71"/>
      <c r="VGQ7" s="71"/>
      <c r="VGR7" s="71"/>
      <c r="VGS7" s="71"/>
      <c r="VGT7" s="71"/>
      <c r="VGU7" s="71"/>
      <c r="VGV7" s="71"/>
      <c r="VGW7" s="71"/>
      <c r="VGX7" s="71"/>
      <c r="VGY7" s="71"/>
      <c r="VGZ7" s="71"/>
      <c r="VHA7" s="71"/>
      <c r="VHB7" s="71"/>
      <c r="VHC7" s="71"/>
      <c r="VHD7" s="71"/>
      <c r="VHE7" s="71"/>
      <c r="VHF7" s="71"/>
      <c r="VHG7" s="71"/>
      <c r="VHH7" s="71"/>
      <c r="VHI7" s="71"/>
      <c r="VHJ7" s="71"/>
      <c r="VHK7" s="71"/>
      <c r="VHL7" s="71"/>
      <c r="VHM7" s="71"/>
      <c r="VHN7" s="71"/>
      <c r="VHO7" s="71"/>
      <c r="VHP7" s="71"/>
      <c r="VHQ7" s="71"/>
      <c r="VHR7" s="71"/>
      <c r="VHS7" s="71"/>
      <c r="VHT7" s="71"/>
      <c r="VHU7" s="71"/>
      <c r="VHV7" s="71"/>
      <c r="VHW7" s="71"/>
      <c r="VHX7" s="71"/>
      <c r="VHY7" s="71"/>
      <c r="VHZ7" s="71"/>
      <c r="VIA7" s="71"/>
      <c r="VIB7" s="71"/>
      <c r="VIC7" s="71"/>
      <c r="VID7" s="71"/>
      <c r="VIE7" s="71"/>
      <c r="VIF7" s="71"/>
      <c r="VIG7" s="71"/>
      <c r="VIH7" s="71"/>
      <c r="VII7" s="71"/>
      <c r="VIJ7" s="71"/>
      <c r="VIK7" s="71"/>
      <c r="VIL7" s="71"/>
      <c r="VIM7" s="71"/>
      <c r="VIN7" s="71"/>
      <c r="VIO7" s="71"/>
      <c r="VIP7" s="71"/>
      <c r="VIQ7" s="71"/>
      <c r="VIR7" s="71"/>
      <c r="VIS7" s="71"/>
      <c r="VIT7" s="71"/>
      <c r="VIU7" s="71"/>
      <c r="VIV7" s="71"/>
      <c r="VIW7" s="71"/>
      <c r="VIX7" s="71"/>
      <c r="VIY7" s="71"/>
      <c r="VIZ7" s="71"/>
      <c r="VJA7" s="71"/>
      <c r="VJB7" s="71"/>
      <c r="VJC7" s="71"/>
      <c r="VJD7" s="71"/>
      <c r="VJE7" s="71"/>
      <c r="VJF7" s="71"/>
      <c r="VJG7" s="71"/>
      <c r="VJH7" s="71"/>
      <c r="VJI7" s="71"/>
      <c r="VJJ7" s="71"/>
      <c r="VJK7" s="71"/>
      <c r="VJL7" s="71"/>
      <c r="VJM7" s="71"/>
      <c r="VJN7" s="71"/>
      <c r="VJO7" s="71"/>
      <c r="VJP7" s="71"/>
      <c r="VJQ7" s="71"/>
      <c r="VJR7" s="71"/>
      <c r="VJS7" s="71"/>
      <c r="VJT7" s="71"/>
      <c r="VJU7" s="71"/>
      <c r="VJV7" s="71"/>
      <c r="VJW7" s="71"/>
      <c r="VJX7" s="71"/>
      <c r="VJY7" s="71"/>
      <c r="VJZ7" s="71"/>
      <c r="VKA7" s="71"/>
      <c r="VKB7" s="71"/>
      <c r="VKC7" s="71"/>
      <c r="VKD7" s="71"/>
      <c r="VKE7" s="71"/>
      <c r="VKF7" s="71"/>
      <c r="VKG7" s="71"/>
      <c r="VKH7" s="71"/>
      <c r="VKI7" s="71"/>
      <c r="VKJ7" s="71"/>
      <c r="VKK7" s="71"/>
      <c r="VKL7" s="71"/>
      <c r="VKM7" s="71"/>
      <c r="VKN7" s="71"/>
      <c r="VKO7" s="71"/>
      <c r="VKP7" s="71"/>
      <c r="VKQ7" s="71"/>
      <c r="VKR7" s="71"/>
      <c r="VKS7" s="71"/>
      <c r="VKT7" s="71"/>
      <c r="VKU7" s="71"/>
      <c r="VKV7" s="71"/>
      <c r="VKW7" s="71"/>
      <c r="VKX7" s="71"/>
      <c r="VKY7" s="71"/>
      <c r="VKZ7" s="71"/>
      <c r="VLA7" s="71"/>
      <c r="VLB7" s="71"/>
      <c r="VLC7" s="71"/>
      <c r="VLD7" s="71"/>
      <c r="VLE7" s="71"/>
      <c r="VLF7" s="71"/>
      <c r="VLG7" s="71"/>
      <c r="VLH7" s="71"/>
      <c r="VLI7" s="71"/>
      <c r="VLJ7" s="71"/>
      <c r="VLK7" s="71"/>
      <c r="VLL7" s="71"/>
      <c r="VLM7" s="71"/>
      <c r="VLN7" s="71"/>
      <c r="VLO7" s="71"/>
      <c r="VLP7" s="71"/>
      <c r="VLQ7" s="71"/>
      <c r="VLR7" s="71"/>
      <c r="VLS7" s="71"/>
      <c r="VLT7" s="71"/>
      <c r="VLU7" s="71"/>
      <c r="VLV7" s="71"/>
      <c r="VLW7" s="71"/>
      <c r="VLX7" s="71"/>
      <c r="VLY7" s="71"/>
      <c r="VLZ7" s="71"/>
      <c r="VMA7" s="71"/>
      <c r="VMB7" s="71"/>
      <c r="VMC7" s="71"/>
      <c r="VMD7" s="71"/>
      <c r="VME7" s="71"/>
      <c r="VMF7" s="71"/>
      <c r="VMG7" s="71"/>
      <c r="VMH7" s="71"/>
      <c r="VMI7" s="71"/>
      <c r="VMJ7" s="71"/>
      <c r="VMK7" s="71"/>
      <c r="VML7" s="71"/>
      <c r="VMM7" s="71"/>
      <c r="VMN7" s="71"/>
      <c r="VMO7" s="71"/>
      <c r="VMP7" s="71"/>
      <c r="VMQ7" s="71"/>
      <c r="VMR7" s="71"/>
      <c r="VMS7" s="71"/>
      <c r="VMT7" s="71"/>
      <c r="VMU7" s="71"/>
      <c r="VMV7" s="71"/>
      <c r="VMW7" s="71"/>
      <c r="VMX7" s="71"/>
      <c r="VMY7" s="71"/>
      <c r="VMZ7" s="71"/>
      <c r="VNA7" s="71"/>
      <c r="VNB7" s="71"/>
      <c r="VNC7" s="71"/>
      <c r="VND7" s="71"/>
      <c r="VNE7" s="71"/>
      <c r="VNF7" s="71"/>
      <c r="VNG7" s="71"/>
      <c r="VNH7" s="71"/>
      <c r="VNI7" s="71"/>
      <c r="VNJ7" s="71"/>
      <c r="VNK7" s="71"/>
      <c r="VNL7" s="71"/>
      <c r="VNM7" s="71"/>
      <c r="VNN7" s="71"/>
      <c r="VNO7" s="71"/>
      <c r="VNP7" s="71"/>
      <c r="VNQ7" s="71"/>
      <c r="VNR7" s="71"/>
      <c r="VNS7" s="71"/>
      <c r="VNT7" s="71"/>
      <c r="VNU7" s="71"/>
      <c r="VNV7" s="71"/>
      <c r="VNW7" s="71"/>
      <c r="VNX7" s="71"/>
      <c r="VNY7" s="71"/>
      <c r="VNZ7" s="71"/>
      <c r="VOA7" s="71"/>
      <c r="VOB7" s="71"/>
      <c r="VOC7" s="71"/>
      <c r="VOD7" s="71"/>
      <c r="VOE7" s="71"/>
      <c r="VOF7" s="71"/>
      <c r="VOG7" s="71"/>
      <c r="VOH7" s="71"/>
      <c r="VOI7" s="71"/>
      <c r="VOJ7" s="71"/>
      <c r="VOK7" s="71"/>
      <c r="VOL7" s="71"/>
      <c r="VOM7" s="71"/>
      <c r="VON7" s="71"/>
      <c r="VOO7" s="71"/>
      <c r="VOP7" s="71"/>
      <c r="VOQ7" s="71"/>
      <c r="VOR7" s="71"/>
      <c r="VOS7" s="71"/>
      <c r="VOT7" s="71"/>
      <c r="VOU7" s="71"/>
      <c r="VOV7" s="71"/>
      <c r="VOW7" s="71"/>
      <c r="VOX7" s="71"/>
      <c r="VOY7" s="71"/>
      <c r="VOZ7" s="71"/>
      <c r="VPA7" s="71"/>
      <c r="VPB7" s="71"/>
      <c r="VPC7" s="71"/>
      <c r="VPD7" s="71"/>
      <c r="VPE7" s="71"/>
      <c r="VPF7" s="71"/>
      <c r="VPG7" s="71"/>
      <c r="VPH7" s="71"/>
      <c r="VPI7" s="71"/>
      <c r="VPJ7" s="71"/>
      <c r="VPK7" s="71"/>
      <c r="VPL7" s="71"/>
      <c r="VPM7" s="71"/>
      <c r="VPN7" s="71"/>
      <c r="VPO7" s="71"/>
      <c r="VPP7" s="71"/>
      <c r="VPQ7" s="71"/>
      <c r="VPR7" s="71"/>
      <c r="VPS7" s="71"/>
      <c r="VPT7" s="71"/>
      <c r="VPU7" s="71"/>
      <c r="VPV7" s="71"/>
      <c r="VPW7" s="71"/>
      <c r="VPX7" s="71"/>
      <c r="VPY7" s="71"/>
      <c r="VPZ7" s="71"/>
      <c r="VQA7" s="71"/>
      <c r="VQB7" s="71"/>
      <c r="VQC7" s="71"/>
      <c r="VQD7" s="71"/>
      <c r="VQE7" s="71"/>
      <c r="VQF7" s="71"/>
      <c r="VQG7" s="71"/>
      <c r="VQH7" s="71"/>
      <c r="VQI7" s="71"/>
      <c r="VQJ7" s="71"/>
      <c r="VQK7" s="71"/>
      <c r="VQL7" s="71"/>
      <c r="VQM7" s="71"/>
      <c r="VQN7" s="71"/>
      <c r="VQO7" s="71"/>
      <c r="VQP7" s="71"/>
      <c r="VQQ7" s="71"/>
      <c r="VQR7" s="71"/>
      <c r="VQS7" s="71"/>
      <c r="VQT7" s="71"/>
      <c r="VQU7" s="71"/>
      <c r="VQV7" s="71"/>
      <c r="VQW7" s="71"/>
      <c r="VQX7" s="71"/>
      <c r="VQY7" s="71"/>
      <c r="VQZ7" s="71"/>
      <c r="VRA7" s="71"/>
      <c r="VRB7" s="71"/>
      <c r="VRC7" s="71"/>
      <c r="VRD7" s="71"/>
      <c r="VRE7" s="71"/>
      <c r="VRF7" s="71"/>
      <c r="VRG7" s="71"/>
      <c r="VRH7" s="71"/>
      <c r="VRI7" s="71"/>
      <c r="VRJ7" s="71"/>
      <c r="VRK7" s="71"/>
      <c r="VRL7" s="71"/>
      <c r="VRM7" s="71"/>
      <c r="VRN7" s="71"/>
      <c r="VRO7" s="71"/>
      <c r="VRP7" s="71"/>
      <c r="VRQ7" s="71"/>
      <c r="VRR7" s="71"/>
      <c r="VRS7" s="71"/>
      <c r="VRT7" s="71"/>
      <c r="VRU7" s="71"/>
      <c r="VRV7" s="71"/>
      <c r="VRW7" s="71"/>
      <c r="VRX7" s="71"/>
      <c r="VRY7" s="71"/>
      <c r="VRZ7" s="71"/>
      <c r="VSA7" s="71"/>
      <c r="VSB7" s="71"/>
      <c r="VSC7" s="71"/>
      <c r="VSD7" s="71"/>
      <c r="VSE7" s="71"/>
      <c r="VSF7" s="71"/>
      <c r="VSG7" s="71"/>
      <c r="VSH7" s="71"/>
      <c r="VSI7" s="71"/>
      <c r="VSJ7" s="71"/>
      <c r="VSK7" s="71"/>
      <c r="VSL7" s="71"/>
      <c r="VSM7" s="71"/>
      <c r="VSN7" s="71"/>
      <c r="VSO7" s="71"/>
      <c r="VSP7" s="71"/>
      <c r="VSQ7" s="71"/>
      <c r="VSR7" s="71"/>
      <c r="VSS7" s="71"/>
      <c r="VST7" s="71"/>
      <c r="VSU7" s="71"/>
      <c r="VSV7" s="71"/>
      <c r="VSW7" s="71"/>
      <c r="VSX7" s="71"/>
      <c r="VSY7" s="71"/>
      <c r="VSZ7" s="71"/>
      <c r="VTA7" s="71"/>
      <c r="VTB7" s="71"/>
      <c r="VTC7" s="71"/>
      <c r="VTD7" s="71"/>
      <c r="VTE7" s="71"/>
      <c r="VTF7" s="71"/>
      <c r="VTG7" s="71"/>
      <c r="VTH7" s="71"/>
      <c r="VTI7" s="71"/>
      <c r="VTJ7" s="71"/>
      <c r="VTK7" s="71"/>
      <c r="VTL7" s="71"/>
      <c r="VTM7" s="71"/>
      <c r="VTN7" s="71"/>
      <c r="VTO7" s="71"/>
      <c r="VTP7" s="71"/>
      <c r="VTQ7" s="71"/>
      <c r="VTR7" s="71"/>
      <c r="VTS7" s="71"/>
      <c r="VTT7" s="71"/>
      <c r="VTU7" s="71"/>
      <c r="VTV7" s="71"/>
      <c r="VTW7" s="71"/>
      <c r="VTX7" s="71"/>
      <c r="VTY7" s="71"/>
      <c r="VTZ7" s="71"/>
      <c r="VUA7" s="71"/>
      <c r="VUB7" s="71"/>
      <c r="VUC7" s="71"/>
      <c r="VUD7" s="71"/>
      <c r="VUE7" s="71"/>
      <c r="VUF7" s="71"/>
      <c r="VUG7" s="71"/>
      <c r="VUH7" s="71"/>
      <c r="VUI7" s="71"/>
      <c r="VUJ7" s="71"/>
      <c r="VUK7" s="71"/>
      <c r="VUL7" s="71"/>
      <c r="VUM7" s="71"/>
      <c r="VUN7" s="71"/>
      <c r="VUO7" s="71"/>
      <c r="VUP7" s="71"/>
      <c r="VUQ7" s="71"/>
      <c r="VUR7" s="71"/>
      <c r="VUS7" s="71"/>
      <c r="VUT7" s="71"/>
      <c r="VUU7" s="71"/>
      <c r="VUV7" s="71"/>
      <c r="VUW7" s="71"/>
      <c r="VUX7" s="71"/>
      <c r="VUY7" s="71"/>
      <c r="VUZ7" s="71"/>
      <c r="VVA7" s="71"/>
      <c r="VVB7" s="71"/>
      <c r="VVC7" s="71"/>
      <c r="VVD7" s="71"/>
      <c r="VVE7" s="71"/>
      <c r="VVF7" s="71"/>
      <c r="VVG7" s="71"/>
      <c r="VVH7" s="71"/>
      <c r="VVI7" s="71"/>
      <c r="VVJ7" s="71"/>
      <c r="VVK7" s="71"/>
      <c r="VVL7" s="71"/>
      <c r="VVM7" s="71"/>
      <c r="VVN7" s="71"/>
      <c r="VVO7" s="71"/>
      <c r="VVP7" s="71"/>
      <c r="VVQ7" s="71"/>
      <c r="VVR7" s="71"/>
      <c r="VVS7" s="71"/>
      <c r="VVT7" s="71"/>
      <c r="VVU7" s="71"/>
      <c r="VVV7" s="71"/>
      <c r="VVW7" s="71"/>
      <c r="VVX7" s="71"/>
      <c r="VVY7" s="71"/>
      <c r="VVZ7" s="71"/>
      <c r="VWA7" s="71"/>
      <c r="VWB7" s="71"/>
      <c r="VWC7" s="71"/>
      <c r="VWD7" s="71"/>
      <c r="VWE7" s="71"/>
      <c r="VWF7" s="71"/>
      <c r="VWG7" s="71"/>
      <c r="VWH7" s="71"/>
      <c r="VWI7" s="71"/>
      <c r="VWJ7" s="71"/>
      <c r="VWK7" s="71"/>
      <c r="VWL7" s="71"/>
      <c r="VWM7" s="71"/>
      <c r="VWN7" s="71"/>
      <c r="VWO7" s="71"/>
      <c r="VWP7" s="71"/>
      <c r="VWQ7" s="71"/>
      <c r="VWR7" s="71"/>
      <c r="VWS7" s="71"/>
      <c r="VWT7" s="71"/>
      <c r="VWU7" s="71"/>
      <c r="VWV7" s="71"/>
      <c r="VWW7" s="71"/>
      <c r="VWX7" s="71"/>
      <c r="VWY7" s="71"/>
      <c r="VWZ7" s="71"/>
      <c r="VXA7" s="71"/>
      <c r="VXB7" s="71"/>
      <c r="VXC7" s="71"/>
      <c r="VXD7" s="71"/>
      <c r="VXE7" s="71"/>
      <c r="VXF7" s="71"/>
      <c r="VXG7" s="71"/>
      <c r="VXH7" s="71"/>
      <c r="VXI7" s="71"/>
      <c r="VXJ7" s="71"/>
      <c r="VXK7" s="71"/>
      <c r="VXL7" s="71"/>
      <c r="VXM7" s="71"/>
      <c r="VXN7" s="71"/>
      <c r="VXO7" s="71"/>
      <c r="VXP7" s="71"/>
      <c r="VXQ7" s="71"/>
      <c r="VXR7" s="71"/>
      <c r="VXS7" s="71"/>
      <c r="VXT7" s="71"/>
      <c r="VXU7" s="71"/>
      <c r="VXV7" s="71"/>
      <c r="VXW7" s="71"/>
      <c r="VXX7" s="71"/>
      <c r="VXY7" s="71"/>
      <c r="VXZ7" s="71"/>
      <c r="VYA7" s="71"/>
      <c r="VYB7" s="71"/>
      <c r="VYC7" s="71"/>
      <c r="VYD7" s="71"/>
      <c r="VYE7" s="71"/>
      <c r="VYF7" s="71"/>
      <c r="VYG7" s="71"/>
      <c r="VYH7" s="71"/>
      <c r="VYI7" s="71"/>
      <c r="VYJ7" s="71"/>
      <c r="VYK7" s="71"/>
      <c r="VYL7" s="71"/>
      <c r="VYM7" s="71"/>
      <c r="VYN7" s="71"/>
      <c r="VYO7" s="71"/>
      <c r="VYP7" s="71"/>
      <c r="VYQ7" s="71"/>
      <c r="VYR7" s="71"/>
      <c r="VYS7" s="71"/>
      <c r="VYT7" s="71"/>
      <c r="VYU7" s="71"/>
      <c r="VYV7" s="71"/>
      <c r="VYW7" s="71"/>
      <c r="VYX7" s="71"/>
      <c r="VYY7" s="71"/>
      <c r="VYZ7" s="71"/>
      <c r="VZA7" s="71"/>
      <c r="VZB7" s="71"/>
      <c r="VZC7" s="71"/>
      <c r="VZD7" s="71"/>
      <c r="VZE7" s="71"/>
      <c r="VZF7" s="71"/>
      <c r="VZG7" s="71"/>
      <c r="VZH7" s="71"/>
      <c r="VZI7" s="71"/>
      <c r="VZJ7" s="71"/>
      <c r="VZK7" s="71"/>
      <c r="VZL7" s="71"/>
      <c r="VZM7" s="71"/>
      <c r="VZN7" s="71"/>
      <c r="VZO7" s="71"/>
      <c r="VZP7" s="71"/>
      <c r="VZQ7" s="71"/>
      <c r="VZR7" s="71"/>
      <c r="VZS7" s="71"/>
      <c r="VZT7" s="71"/>
      <c r="VZU7" s="71"/>
      <c r="VZV7" s="71"/>
      <c r="VZW7" s="71"/>
      <c r="VZX7" s="71"/>
      <c r="VZY7" s="71"/>
      <c r="VZZ7" s="71"/>
      <c r="WAA7" s="71"/>
      <c r="WAB7" s="71"/>
      <c r="WAC7" s="71"/>
      <c r="WAD7" s="71"/>
      <c r="WAE7" s="71"/>
      <c r="WAF7" s="71"/>
      <c r="WAG7" s="71"/>
      <c r="WAH7" s="71"/>
      <c r="WAI7" s="71"/>
      <c r="WAJ7" s="71"/>
      <c r="WAK7" s="71"/>
      <c r="WAL7" s="71"/>
      <c r="WAM7" s="71"/>
      <c r="WAN7" s="71"/>
      <c r="WAO7" s="71"/>
      <c r="WAP7" s="71"/>
      <c r="WAQ7" s="71"/>
      <c r="WAR7" s="71"/>
      <c r="WAS7" s="71"/>
      <c r="WAT7" s="71"/>
      <c r="WAU7" s="71"/>
      <c r="WAV7" s="71"/>
      <c r="WAW7" s="71"/>
      <c r="WAX7" s="71"/>
      <c r="WAY7" s="71"/>
      <c r="WAZ7" s="71"/>
      <c r="WBA7" s="71"/>
      <c r="WBB7" s="71"/>
      <c r="WBC7" s="71"/>
      <c r="WBD7" s="71"/>
      <c r="WBE7" s="71"/>
      <c r="WBF7" s="71"/>
      <c r="WBG7" s="71"/>
      <c r="WBH7" s="71"/>
      <c r="WBI7" s="71"/>
      <c r="WBJ7" s="71"/>
      <c r="WBK7" s="71"/>
      <c r="WBL7" s="71"/>
      <c r="WBM7" s="71"/>
      <c r="WBN7" s="71"/>
      <c r="WBO7" s="71"/>
      <c r="WBP7" s="71"/>
      <c r="WBQ7" s="71"/>
      <c r="WBR7" s="71"/>
      <c r="WBS7" s="71"/>
      <c r="WBT7" s="71"/>
      <c r="WBU7" s="71"/>
      <c r="WBV7" s="71"/>
      <c r="WBW7" s="71"/>
      <c r="WBX7" s="71"/>
      <c r="WBY7" s="71"/>
      <c r="WBZ7" s="71"/>
      <c r="WCA7" s="71"/>
      <c r="WCB7" s="71"/>
      <c r="WCC7" s="71"/>
      <c r="WCD7" s="71"/>
      <c r="WCE7" s="71"/>
      <c r="WCF7" s="71"/>
      <c r="WCG7" s="71"/>
      <c r="WCH7" s="71"/>
      <c r="WCI7" s="71"/>
      <c r="WCJ7" s="71"/>
      <c r="WCK7" s="71"/>
      <c r="WCL7" s="71"/>
      <c r="WCM7" s="71"/>
      <c r="WCN7" s="71"/>
      <c r="WCO7" s="71"/>
      <c r="WCP7" s="71"/>
      <c r="WCQ7" s="71"/>
      <c r="WCR7" s="71"/>
      <c r="WCS7" s="71"/>
      <c r="WCT7" s="71"/>
      <c r="WCU7" s="71"/>
      <c r="WCV7" s="71"/>
      <c r="WCW7" s="71"/>
      <c r="WCX7" s="71"/>
      <c r="WCY7" s="71"/>
      <c r="WCZ7" s="71"/>
      <c r="WDA7" s="71"/>
      <c r="WDB7" s="71"/>
      <c r="WDC7" s="71"/>
      <c r="WDD7" s="71"/>
      <c r="WDE7" s="71"/>
      <c r="WDF7" s="71"/>
      <c r="WDG7" s="71"/>
      <c r="WDH7" s="71"/>
      <c r="WDI7" s="71"/>
      <c r="WDJ7" s="71"/>
      <c r="WDK7" s="71"/>
      <c r="WDL7" s="71"/>
      <c r="WDM7" s="71"/>
      <c r="WDN7" s="71"/>
      <c r="WDO7" s="71"/>
      <c r="WDP7" s="71"/>
      <c r="WDQ7" s="71"/>
      <c r="WDR7" s="71"/>
      <c r="WDS7" s="71"/>
      <c r="WDT7" s="71"/>
      <c r="WDU7" s="71"/>
      <c r="WDV7" s="71"/>
      <c r="WDW7" s="71"/>
      <c r="WDX7" s="71"/>
      <c r="WDY7" s="71"/>
      <c r="WDZ7" s="71"/>
      <c r="WEA7" s="71"/>
      <c r="WEB7" s="71"/>
      <c r="WEC7" s="71"/>
      <c r="WED7" s="71"/>
      <c r="WEE7" s="71"/>
      <c r="WEF7" s="71"/>
      <c r="WEG7" s="71"/>
      <c r="WEH7" s="71"/>
      <c r="WEI7" s="71"/>
      <c r="WEJ7" s="71"/>
      <c r="WEK7" s="71"/>
      <c r="WEL7" s="71"/>
      <c r="WEM7" s="71"/>
      <c r="WEN7" s="71"/>
      <c r="WEO7" s="71"/>
      <c r="WEP7" s="71"/>
      <c r="WEQ7" s="71"/>
      <c r="WER7" s="71"/>
      <c r="WES7" s="71"/>
      <c r="WET7" s="71"/>
      <c r="WEU7" s="71"/>
      <c r="WEV7" s="71"/>
      <c r="WEW7" s="71"/>
      <c r="WEX7" s="71"/>
      <c r="WEY7" s="71"/>
      <c r="WEZ7" s="71"/>
      <c r="WFA7" s="71"/>
      <c r="WFB7" s="71"/>
      <c r="WFC7" s="71"/>
      <c r="WFD7" s="71"/>
      <c r="WFE7" s="71"/>
      <c r="WFF7" s="71"/>
      <c r="WFG7" s="71"/>
      <c r="WFH7" s="71"/>
      <c r="WFI7" s="71"/>
      <c r="WFJ7" s="71"/>
      <c r="WFK7" s="71"/>
      <c r="WFL7" s="71"/>
      <c r="WFM7" s="71"/>
      <c r="WFN7" s="71"/>
      <c r="WFO7" s="71"/>
      <c r="WFP7" s="71"/>
      <c r="WFQ7" s="71"/>
      <c r="WFR7" s="71"/>
      <c r="WFS7" s="71"/>
      <c r="WFT7" s="71"/>
      <c r="WFU7" s="71"/>
      <c r="WFV7" s="71"/>
      <c r="WFW7" s="71"/>
      <c r="WFX7" s="71"/>
      <c r="WFY7" s="71"/>
      <c r="WFZ7" s="71"/>
      <c r="WGA7" s="71"/>
      <c r="WGB7" s="71"/>
      <c r="WGC7" s="71"/>
      <c r="WGD7" s="71"/>
      <c r="WGE7" s="71"/>
      <c r="WGF7" s="71"/>
      <c r="WGG7" s="71"/>
      <c r="WGH7" s="71"/>
      <c r="WGI7" s="71"/>
      <c r="WGJ7" s="71"/>
      <c r="WGK7" s="71"/>
      <c r="WGL7" s="71"/>
      <c r="WGM7" s="71"/>
      <c r="WGN7" s="71"/>
      <c r="WGO7" s="71"/>
      <c r="WGP7" s="71"/>
      <c r="WGQ7" s="71"/>
      <c r="WGR7" s="71"/>
      <c r="WGS7" s="71"/>
      <c r="WGT7" s="71"/>
      <c r="WGU7" s="71"/>
      <c r="WGV7" s="71"/>
      <c r="WGW7" s="71"/>
      <c r="WGX7" s="71"/>
      <c r="WGY7" s="71"/>
      <c r="WGZ7" s="71"/>
      <c r="WHA7" s="71"/>
      <c r="WHB7" s="71"/>
      <c r="WHC7" s="71"/>
      <c r="WHD7" s="71"/>
      <c r="WHE7" s="71"/>
      <c r="WHF7" s="71"/>
      <c r="WHG7" s="71"/>
      <c r="WHH7" s="71"/>
      <c r="WHI7" s="71"/>
      <c r="WHJ7" s="71"/>
      <c r="WHK7" s="71"/>
      <c r="WHL7" s="71"/>
      <c r="WHM7" s="71"/>
      <c r="WHN7" s="71"/>
      <c r="WHO7" s="71"/>
      <c r="WHP7" s="71"/>
      <c r="WHQ7" s="71"/>
      <c r="WHR7" s="71"/>
      <c r="WHS7" s="71"/>
      <c r="WHT7" s="71"/>
      <c r="WHU7" s="71"/>
      <c r="WHV7" s="71"/>
      <c r="WHW7" s="71"/>
      <c r="WHX7" s="71"/>
      <c r="WHY7" s="71"/>
      <c r="WHZ7" s="71"/>
      <c r="WIA7" s="71"/>
      <c r="WIB7" s="71"/>
      <c r="WIC7" s="71"/>
      <c r="WID7" s="71"/>
      <c r="WIE7" s="71"/>
      <c r="WIF7" s="71"/>
      <c r="WIG7" s="71"/>
      <c r="WIH7" s="71"/>
      <c r="WII7" s="71"/>
      <c r="WIJ7" s="71"/>
      <c r="WIK7" s="71"/>
      <c r="WIL7" s="71"/>
      <c r="WIM7" s="71"/>
      <c r="WIN7" s="71"/>
      <c r="WIO7" s="71"/>
      <c r="WIP7" s="71"/>
      <c r="WIQ7" s="71"/>
      <c r="WIR7" s="71"/>
      <c r="WIS7" s="71"/>
      <c r="WIT7" s="71"/>
      <c r="WIU7" s="71"/>
      <c r="WIV7" s="71"/>
      <c r="WIW7" s="71"/>
      <c r="WIX7" s="71"/>
      <c r="WIY7" s="71"/>
      <c r="WIZ7" s="71"/>
      <c r="WJA7" s="71"/>
      <c r="WJB7" s="71"/>
      <c r="WJC7" s="71"/>
      <c r="WJD7" s="71"/>
      <c r="WJE7" s="71"/>
      <c r="WJF7" s="71"/>
      <c r="WJG7" s="71"/>
      <c r="WJH7" s="71"/>
      <c r="WJI7" s="71"/>
      <c r="WJJ7" s="71"/>
      <c r="WJK7" s="71"/>
      <c r="WJL7" s="71"/>
      <c r="WJM7" s="71"/>
      <c r="WJN7" s="71"/>
      <c r="WJO7" s="71"/>
      <c r="WJP7" s="71"/>
      <c r="WJQ7" s="71"/>
      <c r="WJR7" s="71"/>
      <c r="WJS7" s="71"/>
      <c r="WJT7" s="71"/>
      <c r="WJU7" s="71"/>
      <c r="WJV7" s="71"/>
      <c r="WJW7" s="71"/>
      <c r="WJX7" s="71"/>
      <c r="WJY7" s="71"/>
      <c r="WJZ7" s="71"/>
      <c r="WKA7" s="71"/>
      <c r="WKB7" s="71"/>
      <c r="WKC7" s="71"/>
      <c r="WKD7" s="71"/>
      <c r="WKE7" s="71"/>
      <c r="WKF7" s="71"/>
      <c r="WKG7" s="71"/>
      <c r="WKH7" s="71"/>
      <c r="WKI7" s="71"/>
      <c r="WKJ7" s="71"/>
      <c r="WKK7" s="71"/>
      <c r="WKL7" s="71"/>
      <c r="WKM7" s="71"/>
      <c r="WKN7" s="71"/>
      <c r="WKO7" s="71"/>
      <c r="WKP7" s="71"/>
      <c r="WKQ7" s="71"/>
      <c r="WKR7" s="71"/>
      <c r="WKS7" s="71"/>
      <c r="WKT7" s="71"/>
      <c r="WKU7" s="71"/>
      <c r="WKV7" s="71"/>
      <c r="WKW7" s="71"/>
      <c r="WKX7" s="71"/>
      <c r="WKY7" s="71"/>
      <c r="WKZ7" s="71"/>
      <c r="WLA7" s="71"/>
      <c r="WLB7" s="71"/>
      <c r="WLC7" s="71"/>
      <c r="WLD7" s="71"/>
      <c r="WLE7" s="71"/>
      <c r="WLF7" s="71"/>
      <c r="WLG7" s="71"/>
      <c r="WLH7" s="71"/>
      <c r="WLI7" s="71"/>
      <c r="WLJ7" s="71"/>
      <c r="WLK7" s="71"/>
      <c r="WLL7" s="71"/>
      <c r="WLM7" s="71"/>
      <c r="WLN7" s="71"/>
      <c r="WLO7" s="71"/>
      <c r="WLP7" s="71"/>
      <c r="WLQ7" s="71"/>
      <c r="WLR7" s="71"/>
      <c r="WLS7" s="71"/>
      <c r="WLT7" s="71"/>
      <c r="WLU7" s="71"/>
      <c r="WLV7" s="71"/>
      <c r="WLW7" s="71"/>
      <c r="WLX7" s="71"/>
      <c r="WLY7" s="71"/>
      <c r="WLZ7" s="71"/>
      <c r="WMA7" s="71"/>
      <c r="WMB7" s="71"/>
      <c r="WMC7" s="71"/>
      <c r="WMD7" s="71"/>
      <c r="WME7" s="71"/>
      <c r="WMF7" s="71"/>
      <c r="WMG7" s="71"/>
      <c r="WMH7" s="71"/>
      <c r="WMI7" s="71"/>
      <c r="WMJ7" s="71"/>
      <c r="WMK7" s="71"/>
      <c r="WML7" s="71"/>
      <c r="WMM7" s="71"/>
      <c r="WMN7" s="71"/>
      <c r="WMO7" s="71"/>
      <c r="WMP7" s="71"/>
      <c r="WMQ7" s="71"/>
      <c r="WMR7" s="71"/>
      <c r="WMS7" s="71"/>
      <c r="WMT7" s="71"/>
      <c r="WMU7" s="71"/>
      <c r="WMV7" s="71"/>
      <c r="WMW7" s="71"/>
      <c r="WMX7" s="71"/>
      <c r="WMY7" s="71"/>
      <c r="WMZ7" s="71"/>
      <c r="WNA7" s="71"/>
      <c r="WNB7" s="71"/>
      <c r="WNC7" s="71"/>
      <c r="WND7" s="71"/>
      <c r="WNE7" s="71"/>
      <c r="WNF7" s="71"/>
      <c r="WNG7" s="71"/>
      <c r="WNH7" s="71"/>
      <c r="WNI7" s="71"/>
      <c r="WNJ7" s="71"/>
      <c r="WNK7" s="71"/>
      <c r="WNL7" s="71"/>
      <c r="WNM7" s="71"/>
      <c r="WNN7" s="71"/>
      <c r="WNO7" s="71"/>
      <c r="WNP7" s="71"/>
      <c r="WNQ7" s="71"/>
      <c r="WNR7" s="71"/>
      <c r="WNS7" s="71"/>
      <c r="WNT7" s="71"/>
      <c r="WNU7" s="71"/>
      <c r="WNV7" s="71"/>
      <c r="WNW7" s="71"/>
      <c r="WNX7" s="71"/>
      <c r="WNY7" s="71"/>
      <c r="WNZ7" s="71"/>
      <c r="WOA7" s="71"/>
      <c r="WOB7" s="71"/>
      <c r="WOC7" s="71"/>
      <c r="WOD7" s="71"/>
      <c r="WOE7" s="71"/>
      <c r="WOF7" s="71"/>
      <c r="WOG7" s="71"/>
      <c r="WOH7" s="71"/>
      <c r="WOI7" s="71"/>
      <c r="WOJ7" s="71"/>
      <c r="WOK7" s="71"/>
      <c r="WOL7" s="71"/>
      <c r="WOM7" s="71"/>
      <c r="WON7" s="71"/>
      <c r="WOO7" s="71"/>
      <c r="WOP7" s="71"/>
      <c r="WOQ7" s="71"/>
      <c r="WOR7" s="71"/>
      <c r="WOS7" s="71"/>
      <c r="WOT7" s="71"/>
      <c r="WOU7" s="71"/>
      <c r="WOV7" s="71"/>
      <c r="WOW7" s="71"/>
      <c r="WOX7" s="71"/>
      <c r="WOY7" s="71"/>
      <c r="WOZ7" s="71"/>
      <c r="WPA7" s="71"/>
      <c r="WPB7" s="71"/>
      <c r="WPC7" s="71"/>
      <c r="WPD7" s="71"/>
      <c r="WPE7" s="71"/>
      <c r="WPF7" s="71"/>
      <c r="WPG7" s="71"/>
      <c r="WPH7" s="71"/>
      <c r="WPI7" s="71"/>
      <c r="WPJ7" s="71"/>
      <c r="WPK7" s="71"/>
      <c r="WPL7" s="71"/>
      <c r="WPM7" s="71"/>
      <c r="WPN7" s="71"/>
      <c r="WPO7" s="71"/>
      <c r="WPP7" s="71"/>
      <c r="WPQ7" s="71"/>
      <c r="WPR7" s="71"/>
      <c r="WPS7" s="71"/>
      <c r="WPT7" s="71"/>
      <c r="WPU7" s="71"/>
      <c r="WPV7" s="71"/>
      <c r="WPW7" s="71"/>
      <c r="WPX7" s="71"/>
      <c r="WPY7" s="71"/>
      <c r="WPZ7" s="71"/>
      <c r="WQA7" s="71"/>
      <c r="WQB7" s="71"/>
      <c r="WQC7" s="71"/>
      <c r="WQD7" s="71"/>
      <c r="WQE7" s="71"/>
      <c r="WQF7" s="71"/>
      <c r="WQG7" s="71"/>
      <c r="WQH7" s="71"/>
      <c r="WQI7" s="71"/>
      <c r="WQJ7" s="71"/>
      <c r="WQK7" s="71"/>
      <c r="WQL7" s="71"/>
      <c r="WQM7" s="71"/>
      <c r="WQN7" s="71"/>
      <c r="WQO7" s="71"/>
      <c r="WQP7" s="71"/>
      <c r="WQQ7" s="71"/>
      <c r="WQR7" s="71"/>
      <c r="WQS7" s="71"/>
      <c r="WQT7" s="71"/>
      <c r="WQU7" s="71"/>
      <c r="WQV7" s="71"/>
      <c r="WQW7" s="71"/>
      <c r="WQX7" s="71"/>
      <c r="WQY7" s="71"/>
      <c r="WQZ7" s="71"/>
      <c r="WRA7" s="71"/>
      <c r="WRB7" s="71"/>
      <c r="WRC7" s="71"/>
      <c r="WRD7" s="71"/>
      <c r="WRE7" s="71"/>
      <c r="WRF7" s="71"/>
      <c r="WRG7" s="71"/>
      <c r="WRH7" s="71"/>
      <c r="WRI7" s="71"/>
      <c r="WRJ7" s="71"/>
      <c r="WRK7" s="71"/>
      <c r="WRL7" s="71"/>
      <c r="WRM7" s="71"/>
      <c r="WRN7" s="71"/>
      <c r="WRO7" s="71"/>
      <c r="WRP7" s="71"/>
      <c r="WRQ7" s="71"/>
      <c r="WRR7" s="71"/>
      <c r="WRS7" s="71"/>
      <c r="WRT7" s="71"/>
      <c r="WRU7" s="71"/>
      <c r="WRV7" s="71"/>
      <c r="WRW7" s="71"/>
      <c r="WRX7" s="71"/>
      <c r="WRY7" s="71"/>
      <c r="WRZ7" s="71"/>
      <c r="WSA7" s="71"/>
      <c r="WSB7" s="71"/>
      <c r="WSC7" s="71"/>
      <c r="WSD7" s="71"/>
      <c r="WSE7" s="71"/>
      <c r="WSF7" s="71"/>
      <c r="WSG7" s="71"/>
      <c r="WSH7" s="71"/>
      <c r="WSI7" s="71"/>
      <c r="WSJ7" s="71"/>
      <c r="WSK7" s="71"/>
      <c r="WSL7" s="71"/>
      <c r="WSM7" s="71"/>
      <c r="WSN7" s="71"/>
      <c r="WSO7" s="71"/>
      <c r="WSP7" s="71"/>
      <c r="WSQ7" s="71"/>
      <c r="WSR7" s="71"/>
      <c r="WSS7" s="71"/>
      <c r="WST7" s="71"/>
      <c r="WSU7" s="71"/>
      <c r="WSV7" s="71"/>
      <c r="WSW7" s="71"/>
      <c r="WSX7" s="71"/>
      <c r="WSY7" s="71"/>
      <c r="WSZ7" s="71"/>
      <c r="WTA7" s="71"/>
      <c r="WTB7" s="71"/>
      <c r="WTC7" s="71"/>
      <c r="WTD7" s="71"/>
      <c r="WTE7" s="71"/>
      <c r="WTF7" s="71"/>
      <c r="WTG7" s="71"/>
      <c r="WTH7" s="71"/>
      <c r="WTI7" s="71"/>
      <c r="WTJ7" s="71"/>
      <c r="WTK7" s="71"/>
      <c r="WTL7" s="71"/>
      <c r="WTM7" s="71"/>
      <c r="WTN7" s="71"/>
      <c r="WTO7" s="71"/>
      <c r="WTP7" s="71"/>
      <c r="WTQ7" s="71"/>
      <c r="WTR7" s="71"/>
      <c r="WTS7" s="71"/>
      <c r="WTT7" s="71"/>
      <c r="WTU7" s="71"/>
      <c r="WTV7" s="71"/>
      <c r="WTW7" s="71"/>
      <c r="WTX7" s="71"/>
      <c r="WTY7" s="71"/>
      <c r="WTZ7" s="71"/>
      <c r="WUA7" s="71"/>
      <c r="WUB7" s="71"/>
      <c r="WUC7" s="71"/>
      <c r="WUD7" s="71"/>
      <c r="WUE7" s="71"/>
      <c r="WUF7" s="71"/>
      <c r="WUG7" s="71"/>
      <c r="WUH7" s="71"/>
      <c r="WUI7" s="71"/>
      <c r="WUJ7" s="71"/>
      <c r="WUK7" s="71"/>
      <c r="WUL7" s="71"/>
      <c r="WUM7" s="71"/>
      <c r="WUN7" s="71"/>
      <c r="WUO7" s="71"/>
      <c r="WUP7" s="71"/>
      <c r="WUQ7" s="71"/>
      <c r="WUR7" s="71"/>
      <c r="WUS7" s="71"/>
      <c r="WUT7" s="71"/>
      <c r="WUU7" s="71"/>
      <c r="WUV7" s="71"/>
      <c r="WUW7" s="71"/>
      <c r="WUX7" s="71"/>
      <c r="WUY7" s="71"/>
      <c r="WUZ7" s="71"/>
      <c r="WVA7" s="71"/>
      <c r="WVB7" s="71"/>
      <c r="WVC7" s="71"/>
      <c r="WVD7" s="71"/>
      <c r="WVE7" s="71"/>
      <c r="WVF7" s="71"/>
      <c r="WVG7" s="71"/>
      <c r="WVH7" s="71"/>
      <c r="WVI7" s="71"/>
      <c r="WVJ7" s="71"/>
      <c r="WVK7" s="71"/>
      <c r="WVL7" s="71"/>
      <c r="WVM7" s="71"/>
      <c r="WVN7" s="71"/>
      <c r="WVO7" s="71"/>
      <c r="WVP7" s="71"/>
      <c r="WVQ7" s="71"/>
      <c r="WVR7" s="71"/>
      <c r="WVS7" s="71"/>
      <c r="WVT7" s="71"/>
      <c r="WVU7" s="71"/>
      <c r="WVV7" s="71"/>
      <c r="WVW7" s="71"/>
      <c r="WVX7" s="71"/>
      <c r="WVY7" s="71"/>
      <c r="WVZ7" s="71"/>
      <c r="WWA7" s="71"/>
      <c r="WWB7" s="71"/>
      <c r="WWC7" s="71"/>
      <c r="WWD7" s="71"/>
      <c r="WWE7" s="71"/>
      <c r="WWF7" s="71"/>
      <c r="WWG7" s="71"/>
      <c r="WWH7" s="71"/>
      <c r="WWI7" s="71"/>
      <c r="WWJ7" s="71"/>
      <c r="WWK7" s="71"/>
      <c r="WWL7" s="71"/>
      <c r="WWM7" s="71"/>
      <c r="WWN7" s="71"/>
      <c r="WWO7" s="71"/>
      <c r="WWP7" s="71"/>
      <c r="WWQ7" s="71"/>
      <c r="WWR7" s="71"/>
      <c r="WWS7" s="71"/>
      <c r="WWT7" s="71"/>
      <c r="WWU7" s="71"/>
      <c r="WWV7" s="71"/>
      <c r="WWW7" s="71"/>
      <c r="WWX7" s="71"/>
      <c r="WWY7" s="71"/>
      <c r="WWZ7" s="71"/>
      <c r="WXA7" s="71"/>
      <c r="WXB7" s="71"/>
      <c r="WXC7" s="71"/>
      <c r="WXD7" s="71"/>
      <c r="WXE7" s="71"/>
      <c r="WXF7" s="71"/>
      <c r="WXG7" s="71"/>
      <c r="WXH7" s="71"/>
      <c r="WXI7" s="71"/>
      <c r="WXJ7" s="71"/>
      <c r="WXK7" s="71"/>
      <c r="WXL7" s="71"/>
      <c r="WXM7" s="71"/>
      <c r="WXN7" s="71"/>
      <c r="WXO7" s="71"/>
      <c r="WXP7" s="71"/>
      <c r="WXQ7" s="71"/>
      <c r="WXR7" s="71"/>
      <c r="WXS7" s="71"/>
      <c r="WXT7" s="71"/>
      <c r="WXU7" s="71"/>
      <c r="WXV7" s="71"/>
      <c r="WXW7" s="71"/>
      <c r="WXX7" s="71"/>
      <c r="WXY7" s="71"/>
      <c r="WXZ7" s="71"/>
      <c r="WYA7" s="71"/>
      <c r="WYB7" s="71"/>
      <c r="WYC7" s="71"/>
      <c r="WYD7" s="71"/>
      <c r="WYE7" s="71"/>
      <c r="WYF7" s="71"/>
      <c r="WYG7" s="71"/>
      <c r="WYH7" s="71"/>
      <c r="WYI7" s="71"/>
      <c r="WYJ7" s="71"/>
      <c r="WYK7" s="71"/>
      <c r="WYL7" s="71"/>
      <c r="WYM7" s="71"/>
      <c r="WYN7" s="71"/>
      <c r="WYO7" s="71"/>
      <c r="WYP7" s="71"/>
      <c r="WYQ7" s="71"/>
      <c r="WYR7" s="71"/>
      <c r="WYS7" s="71"/>
      <c r="WYT7" s="71"/>
      <c r="WYU7" s="71"/>
      <c r="WYV7" s="71"/>
      <c r="WYW7" s="71"/>
      <c r="WYX7" s="71"/>
      <c r="WYY7" s="71"/>
      <c r="WYZ7" s="71"/>
      <c r="WZA7" s="71"/>
      <c r="WZB7" s="71"/>
      <c r="WZC7" s="71"/>
      <c r="WZD7" s="71"/>
      <c r="WZE7" s="71"/>
      <c r="WZF7" s="71"/>
      <c r="WZG7" s="71"/>
      <c r="WZH7" s="71"/>
      <c r="WZI7" s="71"/>
      <c r="WZJ7" s="71"/>
      <c r="WZK7" s="71"/>
      <c r="WZL7" s="71"/>
      <c r="WZM7" s="71"/>
      <c r="WZN7" s="71"/>
      <c r="WZO7" s="71"/>
      <c r="WZP7" s="71"/>
      <c r="WZQ7" s="71"/>
      <c r="WZR7" s="71"/>
      <c r="WZS7" s="71"/>
      <c r="WZT7" s="71"/>
      <c r="WZU7" s="71"/>
      <c r="WZV7" s="71"/>
      <c r="WZW7" s="71"/>
      <c r="WZX7" s="71"/>
      <c r="WZY7" s="71"/>
      <c r="WZZ7" s="71"/>
      <c r="XAA7" s="71"/>
      <c r="XAB7" s="71"/>
      <c r="XAC7" s="71"/>
      <c r="XAD7" s="71"/>
      <c r="XAE7" s="71"/>
      <c r="XAF7" s="71"/>
      <c r="XAG7" s="71"/>
      <c r="XAH7" s="71"/>
      <c r="XAI7" s="71"/>
      <c r="XAJ7" s="71"/>
      <c r="XAK7" s="71"/>
      <c r="XAL7" s="71"/>
      <c r="XAM7" s="71"/>
      <c r="XAN7" s="71"/>
      <c r="XAO7" s="71"/>
      <c r="XAP7" s="71"/>
      <c r="XAQ7" s="71"/>
      <c r="XAR7" s="71"/>
      <c r="XAS7" s="71"/>
      <c r="XAT7" s="71"/>
      <c r="XAU7" s="71"/>
      <c r="XAV7" s="71"/>
      <c r="XAW7" s="71"/>
      <c r="XAX7" s="71"/>
      <c r="XAY7" s="71"/>
      <c r="XAZ7" s="71"/>
      <c r="XBA7" s="71"/>
      <c r="XBB7" s="71"/>
      <c r="XBC7" s="71"/>
      <c r="XBD7" s="71"/>
      <c r="XBE7" s="71"/>
      <c r="XBF7" s="71"/>
      <c r="XBG7" s="71"/>
      <c r="XBH7" s="71"/>
      <c r="XBI7" s="71"/>
      <c r="XBJ7" s="71"/>
      <c r="XBK7" s="71"/>
      <c r="XBL7" s="71"/>
      <c r="XBM7" s="71"/>
      <c r="XBN7" s="71"/>
      <c r="XBO7" s="71"/>
      <c r="XBP7" s="71"/>
      <c r="XBQ7" s="71"/>
      <c r="XBR7" s="71"/>
      <c r="XBS7" s="71"/>
      <c r="XBT7" s="71"/>
      <c r="XBU7" s="71"/>
      <c r="XBV7" s="71"/>
      <c r="XBW7" s="71"/>
      <c r="XBX7" s="71"/>
      <c r="XBY7" s="71"/>
      <c r="XBZ7" s="71"/>
      <c r="XCA7" s="71"/>
      <c r="XCB7" s="71"/>
      <c r="XCC7" s="71"/>
      <c r="XCD7" s="71"/>
      <c r="XCE7" s="71"/>
      <c r="XCF7" s="71"/>
      <c r="XCG7" s="71"/>
      <c r="XCH7" s="71"/>
      <c r="XCI7" s="71"/>
      <c r="XCJ7" s="71"/>
      <c r="XCK7" s="71"/>
      <c r="XCL7" s="71"/>
      <c r="XCM7" s="71"/>
      <c r="XCN7" s="71"/>
      <c r="XCO7" s="71"/>
      <c r="XCP7" s="71"/>
      <c r="XCQ7" s="71"/>
      <c r="XCR7" s="71"/>
      <c r="XCS7" s="71"/>
      <c r="XCT7" s="71"/>
      <c r="XCU7" s="71"/>
      <c r="XCV7" s="71"/>
      <c r="XCW7" s="71"/>
      <c r="XCX7" s="71"/>
      <c r="XCY7" s="71"/>
      <c r="XCZ7" s="71"/>
      <c r="XDA7" s="71"/>
      <c r="XDB7" s="71"/>
      <c r="XDC7" s="71"/>
      <c r="XDD7" s="71"/>
      <c r="XDE7" s="71"/>
      <c r="XDF7" s="71"/>
      <c r="XDG7" s="71"/>
      <c r="XDH7" s="71"/>
      <c r="XDI7" s="71"/>
      <c r="XDJ7" s="71"/>
      <c r="XDK7" s="71"/>
      <c r="XDL7" s="71"/>
      <c r="XDM7" s="71"/>
      <c r="XDN7" s="71"/>
      <c r="XDO7" s="71"/>
      <c r="XDP7" s="71"/>
      <c r="XDQ7" s="71"/>
      <c r="XDR7" s="71"/>
      <c r="XDS7" s="71"/>
      <c r="XDT7" s="71"/>
      <c r="XDU7" s="71"/>
      <c r="XDV7" s="71"/>
      <c r="XDW7" s="71"/>
      <c r="XDX7" s="71"/>
      <c r="XDY7" s="71"/>
      <c r="XDZ7" s="71"/>
      <c r="XEA7" s="71"/>
      <c r="XEB7" s="71"/>
      <c r="XEC7" s="71"/>
      <c r="XED7" s="71"/>
      <c r="XEE7" s="71"/>
      <c r="XEF7" s="71"/>
      <c r="XEG7" s="71"/>
      <c r="XEH7" s="71"/>
      <c r="XEI7" s="71"/>
      <c r="XEJ7" s="71"/>
      <c r="XEK7" s="71"/>
      <c r="XEL7" s="71"/>
      <c r="XEM7" s="71"/>
      <c r="XEN7" s="71"/>
      <c r="XEO7" s="71"/>
      <c r="XEP7" s="71"/>
      <c r="XEQ7" s="71"/>
      <c r="XER7" s="71"/>
      <c r="XES7" s="71"/>
      <c r="XET7" s="71"/>
      <c r="XEU7" s="71"/>
      <c r="XEV7" s="71"/>
      <c r="XEW7" s="71"/>
      <c r="XEX7" s="71"/>
      <c r="XEY7" s="71"/>
      <c r="XEZ7" s="71"/>
      <c r="XFA7" s="71"/>
      <c r="XFB7" s="71"/>
      <c r="XFC7" s="71"/>
      <c r="XFD7" s="4"/>
    </row>
    <row r="8" spans="1:16384">
      <c r="A8" s="71" t="s">
        <v>2</v>
      </c>
      <c r="B8" s="71"/>
      <c r="C8" s="71"/>
    </row>
    <row r="9" spans="1:16384" customFormat="1">
      <c r="A9" s="8"/>
    </row>
    <row r="10" spans="1:16384">
      <c r="A10" s="5" t="s">
        <v>1188</v>
      </c>
      <c r="B10" s="6"/>
      <c r="C10" s="6"/>
    </row>
    <row r="11" spans="1:16384">
      <c r="A11" s="4"/>
      <c r="B11" s="7"/>
      <c r="C11" s="7"/>
    </row>
    <row r="12" spans="1:16384" ht="15.5">
      <c r="A12" s="1" t="s">
        <v>3</v>
      </c>
    </row>
    <row r="13" spans="1:16384" ht="15.5" customHeight="1">
      <c r="A13" s="2">
        <v>1</v>
      </c>
      <c r="B13" s="3" t="s">
        <v>4</v>
      </c>
      <c r="C13" s="48" t="s">
        <v>1174</v>
      </c>
    </row>
    <row r="14" spans="1:16384">
      <c r="A14" s="2">
        <v>2</v>
      </c>
      <c r="B14" s="3" t="s">
        <v>5</v>
      </c>
      <c r="C14" s="48" t="s">
        <v>6</v>
      </c>
    </row>
    <row r="15" spans="1:16384">
      <c r="A15" s="2">
        <v>3</v>
      </c>
      <c r="B15" s="3" t="s">
        <v>7</v>
      </c>
      <c r="C15" s="48" t="s">
        <v>8</v>
      </c>
    </row>
    <row r="16" spans="1:16384">
      <c r="A16" s="2">
        <v>4</v>
      </c>
      <c r="B16" s="3" t="s">
        <v>9</v>
      </c>
      <c r="C16" s="48" t="s">
        <v>10</v>
      </c>
    </row>
    <row r="17" spans="1:3">
      <c r="A17" s="2">
        <v>5</v>
      </c>
      <c r="B17" s="3" t="s">
        <v>11</v>
      </c>
      <c r="C17" s="48" t="s">
        <v>12</v>
      </c>
    </row>
    <row r="18" spans="1:3">
      <c r="A18" s="2">
        <v>6</v>
      </c>
      <c r="B18" s="3" t="s">
        <v>13</v>
      </c>
      <c r="C18" s="48" t="s">
        <v>14</v>
      </c>
    </row>
    <row r="19" spans="1:3" ht="26">
      <c r="A19" s="2">
        <v>7</v>
      </c>
      <c r="B19" s="3" t="s">
        <v>15</v>
      </c>
      <c r="C19" s="48" t="s">
        <v>16</v>
      </c>
    </row>
    <row r="20" spans="1:3" ht="26">
      <c r="A20" s="2">
        <v>8</v>
      </c>
      <c r="B20" s="3" t="s">
        <v>17</v>
      </c>
      <c r="C20" s="48" t="s">
        <v>18</v>
      </c>
    </row>
    <row r="21" spans="1:3">
      <c r="A21" s="2">
        <v>9</v>
      </c>
      <c r="B21" s="3" t="s">
        <v>29</v>
      </c>
      <c r="C21" s="48" t="s">
        <v>30</v>
      </c>
    </row>
    <row r="22" spans="1:3">
      <c r="A22" s="2">
        <v>10</v>
      </c>
      <c r="B22" s="3" t="s">
        <v>31</v>
      </c>
      <c r="C22" s="48" t="s">
        <v>32</v>
      </c>
    </row>
    <row r="23" spans="1:3">
      <c r="A23" s="2">
        <v>11</v>
      </c>
      <c r="B23" s="3" t="s">
        <v>834</v>
      </c>
      <c r="C23" s="48" t="s">
        <v>1184</v>
      </c>
    </row>
    <row r="24" spans="1:3">
      <c r="A24" s="2">
        <v>12</v>
      </c>
      <c r="B24" s="3" t="s">
        <v>33</v>
      </c>
      <c r="C24" s="48" t="s">
        <v>1183</v>
      </c>
    </row>
    <row r="25" spans="1:3" ht="52">
      <c r="A25" s="2">
        <v>13</v>
      </c>
      <c r="B25" s="3" t="s">
        <v>19</v>
      </c>
      <c r="C25" s="48" t="s">
        <v>20</v>
      </c>
    </row>
    <row r="26" spans="1:3" ht="52">
      <c r="A26" s="2">
        <v>14</v>
      </c>
      <c r="B26" s="3" t="s">
        <v>21</v>
      </c>
      <c r="C26" s="48" t="s">
        <v>22</v>
      </c>
    </row>
    <row r="27" spans="1:3" ht="78">
      <c r="A27" s="2">
        <v>15</v>
      </c>
      <c r="B27" s="3" t="s">
        <v>23</v>
      </c>
      <c r="C27" s="48" t="s">
        <v>24</v>
      </c>
    </row>
    <row r="28" spans="1:3" ht="26">
      <c r="A28" s="2">
        <v>16</v>
      </c>
      <c r="B28" s="3" t="s">
        <v>25</v>
      </c>
      <c r="C28" s="48" t="s">
        <v>26</v>
      </c>
    </row>
    <row r="29" spans="1:3" ht="52">
      <c r="A29" s="2">
        <v>17</v>
      </c>
      <c r="B29" s="3" t="s">
        <v>27</v>
      </c>
      <c r="C29" s="48" t="s">
        <v>28</v>
      </c>
    </row>
    <row r="30" spans="1:3">
      <c r="A30" s="2">
        <v>18</v>
      </c>
      <c r="B30" s="3" t="s">
        <v>34</v>
      </c>
      <c r="C30" s="48" t="s">
        <v>1182</v>
      </c>
    </row>
    <row r="31" spans="1:3">
      <c r="A31" s="2">
        <v>19</v>
      </c>
      <c r="B31" s="3" t="s">
        <v>35</v>
      </c>
      <c r="C31" s="48" t="s">
        <v>1181</v>
      </c>
    </row>
    <row r="32" spans="1:3">
      <c r="A32" s="2">
        <v>20</v>
      </c>
      <c r="B32" s="3" t="s">
        <v>1139</v>
      </c>
      <c r="C32" s="48" t="s">
        <v>1153</v>
      </c>
    </row>
    <row r="33" spans="1:7" ht="26">
      <c r="A33" s="2">
        <v>21</v>
      </c>
      <c r="B33" s="3" t="s">
        <v>36</v>
      </c>
      <c r="C33" s="48" t="s">
        <v>37</v>
      </c>
    </row>
    <row r="34" spans="1:7" ht="26">
      <c r="A34" s="2">
        <v>22</v>
      </c>
      <c r="B34" s="3" t="s">
        <v>38</v>
      </c>
      <c r="C34" s="48" t="s">
        <v>1158</v>
      </c>
    </row>
    <row r="35" spans="1:7">
      <c r="A35" s="2">
        <v>23</v>
      </c>
      <c r="B35" s="3" t="s">
        <v>39</v>
      </c>
      <c r="C35" s="48" t="s">
        <v>1180</v>
      </c>
    </row>
    <row r="36" spans="1:7">
      <c r="A36" s="2">
        <v>24</v>
      </c>
      <c r="B36" s="3" t="s">
        <v>40</v>
      </c>
      <c r="C36" s="48" t="s">
        <v>1179</v>
      </c>
    </row>
    <row r="37" spans="1:7" ht="52">
      <c r="A37" s="2">
        <v>25</v>
      </c>
      <c r="B37" s="3" t="s">
        <v>41</v>
      </c>
      <c r="C37" s="48" t="s">
        <v>42</v>
      </c>
    </row>
    <row r="38" spans="1:7">
      <c r="A38" s="2">
        <v>26</v>
      </c>
      <c r="B38" s="3" t="s">
        <v>43</v>
      </c>
      <c r="C38" s="48" t="s">
        <v>1179</v>
      </c>
    </row>
    <row r="39" spans="1:7" ht="78">
      <c r="A39" s="2">
        <v>27</v>
      </c>
      <c r="B39" s="3" t="s">
        <v>44</v>
      </c>
      <c r="C39" s="48" t="s">
        <v>1156</v>
      </c>
    </row>
    <row r="40" spans="1:7" ht="100.5" customHeight="1">
      <c r="A40" s="2">
        <v>28</v>
      </c>
      <c r="B40" s="3" t="s">
        <v>45</v>
      </c>
      <c r="C40" s="48" t="s">
        <v>1157</v>
      </c>
    </row>
    <row r="41" spans="1:7" ht="117">
      <c r="A41" s="2">
        <v>29</v>
      </c>
      <c r="B41" s="3" t="s">
        <v>46</v>
      </c>
      <c r="C41" s="48" t="s">
        <v>1144</v>
      </c>
    </row>
    <row r="42" spans="1:7" ht="53" customHeight="1">
      <c r="A42" s="2"/>
      <c r="B42" s="3" t="s">
        <v>1143</v>
      </c>
      <c r="C42" s="49" t="s">
        <v>1147</v>
      </c>
    </row>
    <row r="43" spans="1:7" ht="65">
      <c r="A43" s="2"/>
      <c r="B43" s="3" t="s">
        <v>1142</v>
      </c>
      <c r="C43" s="49" t="s">
        <v>1145</v>
      </c>
    </row>
    <row r="44" spans="1:7" ht="104">
      <c r="A44" s="2"/>
      <c r="B44" s="3" t="s">
        <v>1141</v>
      </c>
      <c r="C44" s="49" t="s">
        <v>1146</v>
      </c>
    </row>
    <row r="45" spans="1:7" ht="54.5">
      <c r="A45" s="2">
        <v>30</v>
      </c>
      <c r="B45" s="3" t="s">
        <v>47</v>
      </c>
      <c r="C45" s="48" t="s">
        <v>1155</v>
      </c>
      <c r="G45" s="9"/>
    </row>
    <row r="46" spans="1:7" ht="39">
      <c r="A46" s="2">
        <v>31</v>
      </c>
      <c r="B46" s="3" t="s">
        <v>48</v>
      </c>
      <c r="C46" s="48" t="s">
        <v>1178</v>
      </c>
    </row>
    <row r="47" spans="1:7">
      <c r="A47" s="2">
        <v>32</v>
      </c>
      <c r="B47" s="3" t="s">
        <v>49</v>
      </c>
      <c r="C47" s="48" t="s">
        <v>50</v>
      </c>
    </row>
    <row r="48" spans="1:7">
      <c r="A48" s="2">
        <v>33</v>
      </c>
      <c r="B48" s="3" t="s">
        <v>51</v>
      </c>
      <c r="C48" s="48" t="s">
        <v>1176</v>
      </c>
    </row>
    <row r="49" spans="1:3" ht="19.5" customHeight="1">
      <c r="A49" s="2">
        <v>34</v>
      </c>
      <c r="B49" s="3" t="s">
        <v>52</v>
      </c>
      <c r="C49" s="48" t="s">
        <v>1177</v>
      </c>
    </row>
    <row r="50" spans="1:3" ht="149" customHeight="1">
      <c r="A50" s="2">
        <v>35</v>
      </c>
      <c r="B50" s="3" t="s">
        <v>1170</v>
      </c>
      <c r="C50" s="48" t="s">
        <v>1173</v>
      </c>
    </row>
    <row r="51" spans="1:3" ht="104">
      <c r="A51" s="2">
        <v>36</v>
      </c>
      <c r="B51" s="3" t="s">
        <v>1171</v>
      </c>
      <c r="C51" s="48" t="s">
        <v>1172</v>
      </c>
    </row>
    <row r="53" spans="1:3">
      <c r="A53" s="70" t="s">
        <v>1186</v>
      </c>
    </row>
  </sheetData>
  <mergeCells count="5467">
    <mergeCell ref="XFA7:XFC7"/>
    <mergeCell ref="XEL7:XEN7"/>
    <mergeCell ref="XEO7:XEQ7"/>
    <mergeCell ref="XER7:XET7"/>
    <mergeCell ref="XEU7:XEW7"/>
    <mergeCell ref="XEX7:XEZ7"/>
    <mergeCell ref="XDW7:XDY7"/>
    <mergeCell ref="XDZ7:XEB7"/>
    <mergeCell ref="XEC7:XEE7"/>
    <mergeCell ref="XEF7:XEH7"/>
    <mergeCell ref="XEI7:XEK7"/>
    <mergeCell ref="XDH7:XDJ7"/>
    <mergeCell ref="XDK7:XDM7"/>
    <mergeCell ref="XDN7:XDP7"/>
    <mergeCell ref="XDQ7:XDS7"/>
    <mergeCell ref="XDT7:XDV7"/>
    <mergeCell ref="XCS7:XCU7"/>
    <mergeCell ref="XCV7:XCX7"/>
    <mergeCell ref="XCY7:XDA7"/>
    <mergeCell ref="XDB7:XDD7"/>
    <mergeCell ref="XDE7:XDG7"/>
    <mergeCell ref="XCD7:XCF7"/>
    <mergeCell ref="XCG7:XCI7"/>
    <mergeCell ref="XCJ7:XCL7"/>
    <mergeCell ref="XCM7:XCO7"/>
    <mergeCell ref="XCP7:XCR7"/>
    <mergeCell ref="XBO7:XBQ7"/>
    <mergeCell ref="XBR7:XBT7"/>
    <mergeCell ref="XBU7:XBW7"/>
    <mergeCell ref="XBX7:XBZ7"/>
    <mergeCell ref="XCA7:XCC7"/>
    <mergeCell ref="XAZ7:XBB7"/>
    <mergeCell ref="XBC7:XBE7"/>
    <mergeCell ref="XBF7:XBH7"/>
    <mergeCell ref="XBI7:XBK7"/>
    <mergeCell ref="XBL7:XBN7"/>
    <mergeCell ref="XAK7:XAM7"/>
    <mergeCell ref="XAN7:XAP7"/>
    <mergeCell ref="XAQ7:XAS7"/>
    <mergeCell ref="XAT7:XAV7"/>
    <mergeCell ref="XAW7:XAY7"/>
    <mergeCell ref="WZV7:WZX7"/>
    <mergeCell ref="WZY7:XAA7"/>
    <mergeCell ref="XAB7:XAD7"/>
    <mergeCell ref="XAE7:XAG7"/>
    <mergeCell ref="XAH7:XAJ7"/>
    <mergeCell ref="WZG7:WZI7"/>
    <mergeCell ref="WZJ7:WZL7"/>
    <mergeCell ref="WZM7:WZO7"/>
    <mergeCell ref="WZP7:WZR7"/>
    <mergeCell ref="WZS7:WZU7"/>
    <mergeCell ref="WYR7:WYT7"/>
    <mergeCell ref="WYU7:WYW7"/>
    <mergeCell ref="WYX7:WYZ7"/>
    <mergeCell ref="WZA7:WZC7"/>
    <mergeCell ref="WZD7:WZF7"/>
    <mergeCell ref="WYC7:WYE7"/>
    <mergeCell ref="WYF7:WYH7"/>
    <mergeCell ref="WYI7:WYK7"/>
    <mergeCell ref="WYL7:WYN7"/>
    <mergeCell ref="WYO7:WYQ7"/>
    <mergeCell ref="WXN7:WXP7"/>
    <mergeCell ref="WXQ7:WXS7"/>
    <mergeCell ref="WXT7:WXV7"/>
    <mergeCell ref="WXW7:WXY7"/>
    <mergeCell ref="WXZ7:WYB7"/>
    <mergeCell ref="WWY7:WXA7"/>
    <mergeCell ref="WXB7:WXD7"/>
    <mergeCell ref="WXE7:WXG7"/>
    <mergeCell ref="WXH7:WXJ7"/>
    <mergeCell ref="WXK7:WXM7"/>
    <mergeCell ref="WWJ7:WWL7"/>
    <mergeCell ref="WWM7:WWO7"/>
    <mergeCell ref="WWP7:WWR7"/>
    <mergeCell ref="WWS7:WWU7"/>
    <mergeCell ref="WWV7:WWX7"/>
    <mergeCell ref="WVU7:WVW7"/>
    <mergeCell ref="WVX7:WVZ7"/>
    <mergeCell ref="WWA7:WWC7"/>
    <mergeCell ref="WWD7:WWF7"/>
    <mergeCell ref="WWG7:WWI7"/>
    <mergeCell ref="WVF7:WVH7"/>
    <mergeCell ref="WVI7:WVK7"/>
    <mergeCell ref="WVL7:WVN7"/>
    <mergeCell ref="WVO7:WVQ7"/>
    <mergeCell ref="WVR7:WVT7"/>
    <mergeCell ref="WUQ7:WUS7"/>
    <mergeCell ref="WUT7:WUV7"/>
    <mergeCell ref="WUW7:WUY7"/>
    <mergeCell ref="WUZ7:WVB7"/>
    <mergeCell ref="WVC7:WVE7"/>
    <mergeCell ref="WUB7:WUD7"/>
    <mergeCell ref="WUE7:WUG7"/>
    <mergeCell ref="WUH7:WUJ7"/>
    <mergeCell ref="WUK7:WUM7"/>
    <mergeCell ref="WUN7:WUP7"/>
    <mergeCell ref="WTM7:WTO7"/>
    <mergeCell ref="WTP7:WTR7"/>
    <mergeCell ref="WTS7:WTU7"/>
    <mergeCell ref="WTV7:WTX7"/>
    <mergeCell ref="WTY7:WUA7"/>
    <mergeCell ref="WSX7:WSZ7"/>
    <mergeCell ref="WTA7:WTC7"/>
    <mergeCell ref="WTD7:WTF7"/>
    <mergeCell ref="WTG7:WTI7"/>
    <mergeCell ref="WTJ7:WTL7"/>
    <mergeCell ref="WSI7:WSK7"/>
    <mergeCell ref="WSL7:WSN7"/>
    <mergeCell ref="WSO7:WSQ7"/>
    <mergeCell ref="WSR7:WST7"/>
    <mergeCell ref="WSU7:WSW7"/>
    <mergeCell ref="WRT7:WRV7"/>
    <mergeCell ref="WRW7:WRY7"/>
    <mergeCell ref="WRZ7:WSB7"/>
    <mergeCell ref="WSC7:WSE7"/>
    <mergeCell ref="WSF7:WSH7"/>
    <mergeCell ref="WRE7:WRG7"/>
    <mergeCell ref="WRH7:WRJ7"/>
    <mergeCell ref="WRK7:WRM7"/>
    <mergeCell ref="WRN7:WRP7"/>
    <mergeCell ref="WRQ7:WRS7"/>
    <mergeCell ref="WQP7:WQR7"/>
    <mergeCell ref="WQS7:WQU7"/>
    <mergeCell ref="WQV7:WQX7"/>
    <mergeCell ref="WQY7:WRA7"/>
    <mergeCell ref="WRB7:WRD7"/>
    <mergeCell ref="WQA7:WQC7"/>
    <mergeCell ref="WQD7:WQF7"/>
    <mergeCell ref="WQG7:WQI7"/>
    <mergeCell ref="WQJ7:WQL7"/>
    <mergeCell ref="WQM7:WQO7"/>
    <mergeCell ref="WPL7:WPN7"/>
    <mergeCell ref="WPO7:WPQ7"/>
    <mergeCell ref="WPR7:WPT7"/>
    <mergeCell ref="WPU7:WPW7"/>
    <mergeCell ref="WPX7:WPZ7"/>
    <mergeCell ref="WOW7:WOY7"/>
    <mergeCell ref="WOZ7:WPB7"/>
    <mergeCell ref="WPC7:WPE7"/>
    <mergeCell ref="WPF7:WPH7"/>
    <mergeCell ref="WPI7:WPK7"/>
    <mergeCell ref="WOH7:WOJ7"/>
    <mergeCell ref="WOK7:WOM7"/>
    <mergeCell ref="WON7:WOP7"/>
    <mergeCell ref="WOQ7:WOS7"/>
    <mergeCell ref="WOT7:WOV7"/>
    <mergeCell ref="WNS7:WNU7"/>
    <mergeCell ref="WNV7:WNX7"/>
    <mergeCell ref="WNY7:WOA7"/>
    <mergeCell ref="WOB7:WOD7"/>
    <mergeCell ref="WOE7:WOG7"/>
    <mergeCell ref="WND7:WNF7"/>
    <mergeCell ref="WNG7:WNI7"/>
    <mergeCell ref="WNJ7:WNL7"/>
    <mergeCell ref="WNM7:WNO7"/>
    <mergeCell ref="WNP7:WNR7"/>
    <mergeCell ref="WMO7:WMQ7"/>
    <mergeCell ref="WMR7:WMT7"/>
    <mergeCell ref="WMU7:WMW7"/>
    <mergeCell ref="WMX7:WMZ7"/>
    <mergeCell ref="WNA7:WNC7"/>
    <mergeCell ref="WLZ7:WMB7"/>
    <mergeCell ref="WMC7:WME7"/>
    <mergeCell ref="WMF7:WMH7"/>
    <mergeCell ref="WMI7:WMK7"/>
    <mergeCell ref="WML7:WMN7"/>
    <mergeCell ref="WLK7:WLM7"/>
    <mergeCell ref="WLN7:WLP7"/>
    <mergeCell ref="WLQ7:WLS7"/>
    <mergeCell ref="WLT7:WLV7"/>
    <mergeCell ref="WLW7:WLY7"/>
    <mergeCell ref="WKV7:WKX7"/>
    <mergeCell ref="WKY7:WLA7"/>
    <mergeCell ref="WLB7:WLD7"/>
    <mergeCell ref="WLE7:WLG7"/>
    <mergeCell ref="WLH7:WLJ7"/>
    <mergeCell ref="WKG7:WKI7"/>
    <mergeCell ref="WKJ7:WKL7"/>
    <mergeCell ref="WKM7:WKO7"/>
    <mergeCell ref="WKP7:WKR7"/>
    <mergeCell ref="WKS7:WKU7"/>
    <mergeCell ref="WJR7:WJT7"/>
    <mergeCell ref="WJU7:WJW7"/>
    <mergeCell ref="WJX7:WJZ7"/>
    <mergeCell ref="WKA7:WKC7"/>
    <mergeCell ref="WKD7:WKF7"/>
    <mergeCell ref="WJC7:WJE7"/>
    <mergeCell ref="WJF7:WJH7"/>
    <mergeCell ref="WJI7:WJK7"/>
    <mergeCell ref="WJL7:WJN7"/>
    <mergeCell ref="WJO7:WJQ7"/>
    <mergeCell ref="WIN7:WIP7"/>
    <mergeCell ref="WIQ7:WIS7"/>
    <mergeCell ref="WIT7:WIV7"/>
    <mergeCell ref="WIW7:WIY7"/>
    <mergeCell ref="WIZ7:WJB7"/>
    <mergeCell ref="WHY7:WIA7"/>
    <mergeCell ref="WIB7:WID7"/>
    <mergeCell ref="WIE7:WIG7"/>
    <mergeCell ref="WIH7:WIJ7"/>
    <mergeCell ref="WIK7:WIM7"/>
    <mergeCell ref="WHJ7:WHL7"/>
    <mergeCell ref="WHM7:WHO7"/>
    <mergeCell ref="WHP7:WHR7"/>
    <mergeCell ref="WHS7:WHU7"/>
    <mergeCell ref="WHV7:WHX7"/>
    <mergeCell ref="WGU7:WGW7"/>
    <mergeCell ref="WGX7:WGZ7"/>
    <mergeCell ref="WHA7:WHC7"/>
    <mergeCell ref="WHD7:WHF7"/>
    <mergeCell ref="WHG7:WHI7"/>
    <mergeCell ref="WGF7:WGH7"/>
    <mergeCell ref="WGI7:WGK7"/>
    <mergeCell ref="WGL7:WGN7"/>
    <mergeCell ref="WGO7:WGQ7"/>
    <mergeCell ref="WGR7:WGT7"/>
    <mergeCell ref="WFQ7:WFS7"/>
    <mergeCell ref="WFT7:WFV7"/>
    <mergeCell ref="WFW7:WFY7"/>
    <mergeCell ref="WFZ7:WGB7"/>
    <mergeCell ref="WGC7:WGE7"/>
    <mergeCell ref="WFB7:WFD7"/>
    <mergeCell ref="WFE7:WFG7"/>
    <mergeCell ref="WFH7:WFJ7"/>
    <mergeCell ref="WFK7:WFM7"/>
    <mergeCell ref="WFN7:WFP7"/>
    <mergeCell ref="WEM7:WEO7"/>
    <mergeCell ref="WEP7:WER7"/>
    <mergeCell ref="WES7:WEU7"/>
    <mergeCell ref="WEV7:WEX7"/>
    <mergeCell ref="WEY7:WFA7"/>
    <mergeCell ref="WDX7:WDZ7"/>
    <mergeCell ref="WEA7:WEC7"/>
    <mergeCell ref="WED7:WEF7"/>
    <mergeCell ref="WEG7:WEI7"/>
    <mergeCell ref="WEJ7:WEL7"/>
    <mergeCell ref="WDI7:WDK7"/>
    <mergeCell ref="WDL7:WDN7"/>
    <mergeCell ref="WDO7:WDQ7"/>
    <mergeCell ref="WDR7:WDT7"/>
    <mergeCell ref="WDU7:WDW7"/>
    <mergeCell ref="WCT7:WCV7"/>
    <mergeCell ref="WCW7:WCY7"/>
    <mergeCell ref="WCZ7:WDB7"/>
    <mergeCell ref="WDC7:WDE7"/>
    <mergeCell ref="WDF7:WDH7"/>
    <mergeCell ref="WCE7:WCG7"/>
    <mergeCell ref="WCH7:WCJ7"/>
    <mergeCell ref="WCK7:WCM7"/>
    <mergeCell ref="WCN7:WCP7"/>
    <mergeCell ref="WCQ7:WCS7"/>
    <mergeCell ref="WBP7:WBR7"/>
    <mergeCell ref="WBS7:WBU7"/>
    <mergeCell ref="WBV7:WBX7"/>
    <mergeCell ref="WBY7:WCA7"/>
    <mergeCell ref="WCB7:WCD7"/>
    <mergeCell ref="WBA7:WBC7"/>
    <mergeCell ref="WBD7:WBF7"/>
    <mergeCell ref="WBG7:WBI7"/>
    <mergeCell ref="WBJ7:WBL7"/>
    <mergeCell ref="WBM7:WBO7"/>
    <mergeCell ref="WAL7:WAN7"/>
    <mergeCell ref="WAO7:WAQ7"/>
    <mergeCell ref="WAR7:WAT7"/>
    <mergeCell ref="WAU7:WAW7"/>
    <mergeCell ref="WAX7:WAZ7"/>
    <mergeCell ref="VZW7:VZY7"/>
    <mergeCell ref="VZZ7:WAB7"/>
    <mergeCell ref="WAC7:WAE7"/>
    <mergeCell ref="WAF7:WAH7"/>
    <mergeCell ref="WAI7:WAK7"/>
    <mergeCell ref="VZH7:VZJ7"/>
    <mergeCell ref="VZK7:VZM7"/>
    <mergeCell ref="VZN7:VZP7"/>
    <mergeCell ref="VZQ7:VZS7"/>
    <mergeCell ref="VZT7:VZV7"/>
    <mergeCell ref="VYS7:VYU7"/>
    <mergeCell ref="VYV7:VYX7"/>
    <mergeCell ref="VYY7:VZA7"/>
    <mergeCell ref="VZB7:VZD7"/>
    <mergeCell ref="VZE7:VZG7"/>
    <mergeCell ref="VYD7:VYF7"/>
    <mergeCell ref="VYG7:VYI7"/>
    <mergeCell ref="VYJ7:VYL7"/>
    <mergeCell ref="VYM7:VYO7"/>
    <mergeCell ref="VYP7:VYR7"/>
    <mergeCell ref="VXO7:VXQ7"/>
    <mergeCell ref="VXR7:VXT7"/>
    <mergeCell ref="VXU7:VXW7"/>
    <mergeCell ref="VXX7:VXZ7"/>
    <mergeCell ref="VYA7:VYC7"/>
    <mergeCell ref="VWZ7:VXB7"/>
    <mergeCell ref="VXC7:VXE7"/>
    <mergeCell ref="VXF7:VXH7"/>
    <mergeCell ref="VXI7:VXK7"/>
    <mergeCell ref="VXL7:VXN7"/>
    <mergeCell ref="VWK7:VWM7"/>
    <mergeCell ref="VWN7:VWP7"/>
    <mergeCell ref="VWQ7:VWS7"/>
    <mergeCell ref="VWT7:VWV7"/>
    <mergeCell ref="VWW7:VWY7"/>
    <mergeCell ref="VVV7:VVX7"/>
    <mergeCell ref="VVY7:VWA7"/>
    <mergeCell ref="VWB7:VWD7"/>
    <mergeCell ref="VWE7:VWG7"/>
    <mergeCell ref="VWH7:VWJ7"/>
    <mergeCell ref="VVG7:VVI7"/>
    <mergeCell ref="VVJ7:VVL7"/>
    <mergeCell ref="VVM7:VVO7"/>
    <mergeCell ref="VVP7:VVR7"/>
    <mergeCell ref="VVS7:VVU7"/>
    <mergeCell ref="VUR7:VUT7"/>
    <mergeCell ref="VUU7:VUW7"/>
    <mergeCell ref="VUX7:VUZ7"/>
    <mergeCell ref="VVA7:VVC7"/>
    <mergeCell ref="VVD7:VVF7"/>
    <mergeCell ref="VUC7:VUE7"/>
    <mergeCell ref="VUF7:VUH7"/>
    <mergeCell ref="VUI7:VUK7"/>
    <mergeCell ref="VUL7:VUN7"/>
    <mergeCell ref="VUO7:VUQ7"/>
    <mergeCell ref="VTN7:VTP7"/>
    <mergeCell ref="VTQ7:VTS7"/>
    <mergeCell ref="VTT7:VTV7"/>
    <mergeCell ref="VTW7:VTY7"/>
    <mergeCell ref="VTZ7:VUB7"/>
    <mergeCell ref="VSY7:VTA7"/>
    <mergeCell ref="VTB7:VTD7"/>
    <mergeCell ref="VTE7:VTG7"/>
    <mergeCell ref="VTH7:VTJ7"/>
    <mergeCell ref="VTK7:VTM7"/>
    <mergeCell ref="VSJ7:VSL7"/>
    <mergeCell ref="VSM7:VSO7"/>
    <mergeCell ref="VSP7:VSR7"/>
    <mergeCell ref="VSS7:VSU7"/>
    <mergeCell ref="VSV7:VSX7"/>
    <mergeCell ref="VRU7:VRW7"/>
    <mergeCell ref="VRX7:VRZ7"/>
    <mergeCell ref="VSA7:VSC7"/>
    <mergeCell ref="VSD7:VSF7"/>
    <mergeCell ref="VSG7:VSI7"/>
    <mergeCell ref="VRF7:VRH7"/>
    <mergeCell ref="VRI7:VRK7"/>
    <mergeCell ref="VRL7:VRN7"/>
    <mergeCell ref="VRO7:VRQ7"/>
    <mergeCell ref="VRR7:VRT7"/>
    <mergeCell ref="VQQ7:VQS7"/>
    <mergeCell ref="VQT7:VQV7"/>
    <mergeCell ref="VQW7:VQY7"/>
    <mergeCell ref="VQZ7:VRB7"/>
    <mergeCell ref="VRC7:VRE7"/>
    <mergeCell ref="VQB7:VQD7"/>
    <mergeCell ref="VQE7:VQG7"/>
    <mergeCell ref="VQH7:VQJ7"/>
    <mergeCell ref="VQK7:VQM7"/>
    <mergeCell ref="VQN7:VQP7"/>
    <mergeCell ref="VPM7:VPO7"/>
    <mergeCell ref="VPP7:VPR7"/>
    <mergeCell ref="VPS7:VPU7"/>
    <mergeCell ref="VPV7:VPX7"/>
    <mergeCell ref="VPY7:VQA7"/>
    <mergeCell ref="VOX7:VOZ7"/>
    <mergeCell ref="VPA7:VPC7"/>
    <mergeCell ref="VPD7:VPF7"/>
    <mergeCell ref="VPG7:VPI7"/>
    <mergeCell ref="VPJ7:VPL7"/>
    <mergeCell ref="VOI7:VOK7"/>
    <mergeCell ref="VOL7:VON7"/>
    <mergeCell ref="VOO7:VOQ7"/>
    <mergeCell ref="VOR7:VOT7"/>
    <mergeCell ref="VOU7:VOW7"/>
    <mergeCell ref="VNT7:VNV7"/>
    <mergeCell ref="VNW7:VNY7"/>
    <mergeCell ref="VNZ7:VOB7"/>
    <mergeCell ref="VOC7:VOE7"/>
    <mergeCell ref="VOF7:VOH7"/>
    <mergeCell ref="VNE7:VNG7"/>
    <mergeCell ref="VNH7:VNJ7"/>
    <mergeCell ref="VNK7:VNM7"/>
    <mergeCell ref="VNN7:VNP7"/>
    <mergeCell ref="VNQ7:VNS7"/>
    <mergeCell ref="VMP7:VMR7"/>
    <mergeCell ref="VMS7:VMU7"/>
    <mergeCell ref="VMV7:VMX7"/>
    <mergeCell ref="VMY7:VNA7"/>
    <mergeCell ref="VNB7:VND7"/>
    <mergeCell ref="VMA7:VMC7"/>
    <mergeCell ref="VMD7:VMF7"/>
    <mergeCell ref="VMG7:VMI7"/>
    <mergeCell ref="VMJ7:VML7"/>
    <mergeCell ref="VMM7:VMO7"/>
    <mergeCell ref="VLL7:VLN7"/>
    <mergeCell ref="VLO7:VLQ7"/>
    <mergeCell ref="VLR7:VLT7"/>
    <mergeCell ref="VLU7:VLW7"/>
    <mergeCell ref="VLX7:VLZ7"/>
    <mergeCell ref="VKW7:VKY7"/>
    <mergeCell ref="VKZ7:VLB7"/>
    <mergeCell ref="VLC7:VLE7"/>
    <mergeCell ref="VLF7:VLH7"/>
    <mergeCell ref="VLI7:VLK7"/>
    <mergeCell ref="VKH7:VKJ7"/>
    <mergeCell ref="VKK7:VKM7"/>
    <mergeCell ref="VKN7:VKP7"/>
    <mergeCell ref="VKQ7:VKS7"/>
    <mergeCell ref="VKT7:VKV7"/>
    <mergeCell ref="VJS7:VJU7"/>
    <mergeCell ref="VJV7:VJX7"/>
    <mergeCell ref="VJY7:VKA7"/>
    <mergeCell ref="VKB7:VKD7"/>
    <mergeCell ref="VKE7:VKG7"/>
    <mergeCell ref="VJD7:VJF7"/>
    <mergeCell ref="VJG7:VJI7"/>
    <mergeCell ref="VJJ7:VJL7"/>
    <mergeCell ref="VJM7:VJO7"/>
    <mergeCell ref="VJP7:VJR7"/>
    <mergeCell ref="VIO7:VIQ7"/>
    <mergeCell ref="VIR7:VIT7"/>
    <mergeCell ref="VIU7:VIW7"/>
    <mergeCell ref="VIX7:VIZ7"/>
    <mergeCell ref="VJA7:VJC7"/>
    <mergeCell ref="VHZ7:VIB7"/>
    <mergeCell ref="VIC7:VIE7"/>
    <mergeCell ref="VIF7:VIH7"/>
    <mergeCell ref="VII7:VIK7"/>
    <mergeCell ref="VIL7:VIN7"/>
    <mergeCell ref="VHK7:VHM7"/>
    <mergeCell ref="VHN7:VHP7"/>
    <mergeCell ref="VHQ7:VHS7"/>
    <mergeCell ref="VHT7:VHV7"/>
    <mergeCell ref="VHW7:VHY7"/>
    <mergeCell ref="VGV7:VGX7"/>
    <mergeCell ref="VGY7:VHA7"/>
    <mergeCell ref="VHB7:VHD7"/>
    <mergeCell ref="VHE7:VHG7"/>
    <mergeCell ref="VHH7:VHJ7"/>
    <mergeCell ref="VGG7:VGI7"/>
    <mergeCell ref="VGJ7:VGL7"/>
    <mergeCell ref="VGM7:VGO7"/>
    <mergeCell ref="VGP7:VGR7"/>
    <mergeCell ref="VGS7:VGU7"/>
    <mergeCell ref="VFR7:VFT7"/>
    <mergeCell ref="VFU7:VFW7"/>
    <mergeCell ref="VFX7:VFZ7"/>
    <mergeCell ref="VGA7:VGC7"/>
    <mergeCell ref="VGD7:VGF7"/>
    <mergeCell ref="VFC7:VFE7"/>
    <mergeCell ref="VFF7:VFH7"/>
    <mergeCell ref="VFI7:VFK7"/>
    <mergeCell ref="VFL7:VFN7"/>
    <mergeCell ref="VFO7:VFQ7"/>
    <mergeCell ref="VEN7:VEP7"/>
    <mergeCell ref="VEQ7:VES7"/>
    <mergeCell ref="VET7:VEV7"/>
    <mergeCell ref="VEW7:VEY7"/>
    <mergeCell ref="VEZ7:VFB7"/>
    <mergeCell ref="VDY7:VEA7"/>
    <mergeCell ref="VEB7:VED7"/>
    <mergeCell ref="VEE7:VEG7"/>
    <mergeCell ref="VEH7:VEJ7"/>
    <mergeCell ref="VEK7:VEM7"/>
    <mergeCell ref="VDJ7:VDL7"/>
    <mergeCell ref="VDM7:VDO7"/>
    <mergeCell ref="VDP7:VDR7"/>
    <mergeCell ref="VDS7:VDU7"/>
    <mergeCell ref="VDV7:VDX7"/>
    <mergeCell ref="VCU7:VCW7"/>
    <mergeCell ref="VCX7:VCZ7"/>
    <mergeCell ref="VDA7:VDC7"/>
    <mergeCell ref="VDD7:VDF7"/>
    <mergeCell ref="VDG7:VDI7"/>
    <mergeCell ref="VCF7:VCH7"/>
    <mergeCell ref="VCI7:VCK7"/>
    <mergeCell ref="VCL7:VCN7"/>
    <mergeCell ref="VCO7:VCQ7"/>
    <mergeCell ref="VCR7:VCT7"/>
    <mergeCell ref="VBQ7:VBS7"/>
    <mergeCell ref="VBT7:VBV7"/>
    <mergeCell ref="VBW7:VBY7"/>
    <mergeCell ref="VBZ7:VCB7"/>
    <mergeCell ref="VCC7:VCE7"/>
    <mergeCell ref="VBB7:VBD7"/>
    <mergeCell ref="VBE7:VBG7"/>
    <mergeCell ref="VBH7:VBJ7"/>
    <mergeCell ref="VBK7:VBM7"/>
    <mergeCell ref="VBN7:VBP7"/>
    <mergeCell ref="VAM7:VAO7"/>
    <mergeCell ref="VAP7:VAR7"/>
    <mergeCell ref="VAS7:VAU7"/>
    <mergeCell ref="VAV7:VAX7"/>
    <mergeCell ref="VAY7:VBA7"/>
    <mergeCell ref="UZX7:UZZ7"/>
    <mergeCell ref="VAA7:VAC7"/>
    <mergeCell ref="VAD7:VAF7"/>
    <mergeCell ref="VAG7:VAI7"/>
    <mergeCell ref="VAJ7:VAL7"/>
    <mergeCell ref="UZI7:UZK7"/>
    <mergeCell ref="UZL7:UZN7"/>
    <mergeCell ref="UZO7:UZQ7"/>
    <mergeCell ref="UZR7:UZT7"/>
    <mergeCell ref="UZU7:UZW7"/>
    <mergeCell ref="UYT7:UYV7"/>
    <mergeCell ref="UYW7:UYY7"/>
    <mergeCell ref="UYZ7:UZB7"/>
    <mergeCell ref="UZC7:UZE7"/>
    <mergeCell ref="UZF7:UZH7"/>
    <mergeCell ref="UYE7:UYG7"/>
    <mergeCell ref="UYH7:UYJ7"/>
    <mergeCell ref="UYK7:UYM7"/>
    <mergeCell ref="UYN7:UYP7"/>
    <mergeCell ref="UYQ7:UYS7"/>
    <mergeCell ref="UXP7:UXR7"/>
    <mergeCell ref="UXS7:UXU7"/>
    <mergeCell ref="UXV7:UXX7"/>
    <mergeCell ref="UXY7:UYA7"/>
    <mergeCell ref="UYB7:UYD7"/>
    <mergeCell ref="UXA7:UXC7"/>
    <mergeCell ref="UXD7:UXF7"/>
    <mergeCell ref="UXG7:UXI7"/>
    <mergeCell ref="UXJ7:UXL7"/>
    <mergeCell ref="UXM7:UXO7"/>
    <mergeCell ref="UWL7:UWN7"/>
    <mergeCell ref="UWO7:UWQ7"/>
    <mergeCell ref="UWR7:UWT7"/>
    <mergeCell ref="UWU7:UWW7"/>
    <mergeCell ref="UWX7:UWZ7"/>
    <mergeCell ref="UVW7:UVY7"/>
    <mergeCell ref="UVZ7:UWB7"/>
    <mergeCell ref="UWC7:UWE7"/>
    <mergeCell ref="UWF7:UWH7"/>
    <mergeCell ref="UWI7:UWK7"/>
    <mergeCell ref="UVH7:UVJ7"/>
    <mergeCell ref="UVK7:UVM7"/>
    <mergeCell ref="UVN7:UVP7"/>
    <mergeCell ref="UVQ7:UVS7"/>
    <mergeCell ref="UVT7:UVV7"/>
    <mergeCell ref="UUS7:UUU7"/>
    <mergeCell ref="UUV7:UUX7"/>
    <mergeCell ref="UUY7:UVA7"/>
    <mergeCell ref="UVB7:UVD7"/>
    <mergeCell ref="UVE7:UVG7"/>
    <mergeCell ref="UUD7:UUF7"/>
    <mergeCell ref="UUG7:UUI7"/>
    <mergeCell ref="UUJ7:UUL7"/>
    <mergeCell ref="UUM7:UUO7"/>
    <mergeCell ref="UUP7:UUR7"/>
    <mergeCell ref="UTO7:UTQ7"/>
    <mergeCell ref="UTR7:UTT7"/>
    <mergeCell ref="UTU7:UTW7"/>
    <mergeCell ref="UTX7:UTZ7"/>
    <mergeCell ref="UUA7:UUC7"/>
    <mergeCell ref="USZ7:UTB7"/>
    <mergeCell ref="UTC7:UTE7"/>
    <mergeCell ref="UTF7:UTH7"/>
    <mergeCell ref="UTI7:UTK7"/>
    <mergeCell ref="UTL7:UTN7"/>
    <mergeCell ref="USK7:USM7"/>
    <mergeCell ref="USN7:USP7"/>
    <mergeCell ref="USQ7:USS7"/>
    <mergeCell ref="UST7:USV7"/>
    <mergeCell ref="USW7:USY7"/>
    <mergeCell ref="URV7:URX7"/>
    <mergeCell ref="URY7:USA7"/>
    <mergeCell ref="USB7:USD7"/>
    <mergeCell ref="USE7:USG7"/>
    <mergeCell ref="USH7:USJ7"/>
    <mergeCell ref="URG7:URI7"/>
    <mergeCell ref="URJ7:URL7"/>
    <mergeCell ref="URM7:URO7"/>
    <mergeCell ref="URP7:URR7"/>
    <mergeCell ref="URS7:URU7"/>
    <mergeCell ref="UQR7:UQT7"/>
    <mergeCell ref="UQU7:UQW7"/>
    <mergeCell ref="UQX7:UQZ7"/>
    <mergeCell ref="URA7:URC7"/>
    <mergeCell ref="URD7:URF7"/>
    <mergeCell ref="UQC7:UQE7"/>
    <mergeCell ref="UQF7:UQH7"/>
    <mergeCell ref="UQI7:UQK7"/>
    <mergeCell ref="UQL7:UQN7"/>
    <mergeCell ref="UQO7:UQQ7"/>
    <mergeCell ref="UPN7:UPP7"/>
    <mergeCell ref="UPQ7:UPS7"/>
    <mergeCell ref="UPT7:UPV7"/>
    <mergeCell ref="UPW7:UPY7"/>
    <mergeCell ref="UPZ7:UQB7"/>
    <mergeCell ref="UOY7:UPA7"/>
    <mergeCell ref="UPB7:UPD7"/>
    <mergeCell ref="UPE7:UPG7"/>
    <mergeCell ref="UPH7:UPJ7"/>
    <mergeCell ref="UPK7:UPM7"/>
    <mergeCell ref="UOJ7:UOL7"/>
    <mergeCell ref="UOM7:UOO7"/>
    <mergeCell ref="UOP7:UOR7"/>
    <mergeCell ref="UOS7:UOU7"/>
    <mergeCell ref="UOV7:UOX7"/>
    <mergeCell ref="UNU7:UNW7"/>
    <mergeCell ref="UNX7:UNZ7"/>
    <mergeCell ref="UOA7:UOC7"/>
    <mergeCell ref="UOD7:UOF7"/>
    <mergeCell ref="UOG7:UOI7"/>
    <mergeCell ref="UNF7:UNH7"/>
    <mergeCell ref="UNI7:UNK7"/>
    <mergeCell ref="UNL7:UNN7"/>
    <mergeCell ref="UNO7:UNQ7"/>
    <mergeCell ref="UNR7:UNT7"/>
    <mergeCell ref="UMQ7:UMS7"/>
    <mergeCell ref="UMT7:UMV7"/>
    <mergeCell ref="UMW7:UMY7"/>
    <mergeCell ref="UMZ7:UNB7"/>
    <mergeCell ref="UNC7:UNE7"/>
    <mergeCell ref="UMB7:UMD7"/>
    <mergeCell ref="UME7:UMG7"/>
    <mergeCell ref="UMH7:UMJ7"/>
    <mergeCell ref="UMK7:UMM7"/>
    <mergeCell ref="UMN7:UMP7"/>
    <mergeCell ref="ULM7:ULO7"/>
    <mergeCell ref="ULP7:ULR7"/>
    <mergeCell ref="ULS7:ULU7"/>
    <mergeCell ref="ULV7:ULX7"/>
    <mergeCell ref="ULY7:UMA7"/>
    <mergeCell ref="UKX7:UKZ7"/>
    <mergeCell ref="ULA7:ULC7"/>
    <mergeCell ref="ULD7:ULF7"/>
    <mergeCell ref="ULG7:ULI7"/>
    <mergeCell ref="ULJ7:ULL7"/>
    <mergeCell ref="UKI7:UKK7"/>
    <mergeCell ref="UKL7:UKN7"/>
    <mergeCell ref="UKO7:UKQ7"/>
    <mergeCell ref="UKR7:UKT7"/>
    <mergeCell ref="UKU7:UKW7"/>
    <mergeCell ref="UJT7:UJV7"/>
    <mergeCell ref="UJW7:UJY7"/>
    <mergeCell ref="UJZ7:UKB7"/>
    <mergeCell ref="UKC7:UKE7"/>
    <mergeCell ref="UKF7:UKH7"/>
    <mergeCell ref="UJE7:UJG7"/>
    <mergeCell ref="UJH7:UJJ7"/>
    <mergeCell ref="UJK7:UJM7"/>
    <mergeCell ref="UJN7:UJP7"/>
    <mergeCell ref="UJQ7:UJS7"/>
    <mergeCell ref="UIP7:UIR7"/>
    <mergeCell ref="UIS7:UIU7"/>
    <mergeCell ref="UIV7:UIX7"/>
    <mergeCell ref="UIY7:UJA7"/>
    <mergeCell ref="UJB7:UJD7"/>
    <mergeCell ref="UIA7:UIC7"/>
    <mergeCell ref="UID7:UIF7"/>
    <mergeCell ref="UIG7:UII7"/>
    <mergeCell ref="UIJ7:UIL7"/>
    <mergeCell ref="UIM7:UIO7"/>
    <mergeCell ref="UHL7:UHN7"/>
    <mergeCell ref="UHO7:UHQ7"/>
    <mergeCell ref="UHR7:UHT7"/>
    <mergeCell ref="UHU7:UHW7"/>
    <mergeCell ref="UHX7:UHZ7"/>
    <mergeCell ref="UGW7:UGY7"/>
    <mergeCell ref="UGZ7:UHB7"/>
    <mergeCell ref="UHC7:UHE7"/>
    <mergeCell ref="UHF7:UHH7"/>
    <mergeCell ref="UHI7:UHK7"/>
    <mergeCell ref="UGH7:UGJ7"/>
    <mergeCell ref="UGK7:UGM7"/>
    <mergeCell ref="UGN7:UGP7"/>
    <mergeCell ref="UGQ7:UGS7"/>
    <mergeCell ref="UGT7:UGV7"/>
    <mergeCell ref="UFS7:UFU7"/>
    <mergeCell ref="UFV7:UFX7"/>
    <mergeCell ref="UFY7:UGA7"/>
    <mergeCell ref="UGB7:UGD7"/>
    <mergeCell ref="UGE7:UGG7"/>
    <mergeCell ref="UFD7:UFF7"/>
    <mergeCell ref="UFG7:UFI7"/>
    <mergeCell ref="UFJ7:UFL7"/>
    <mergeCell ref="UFM7:UFO7"/>
    <mergeCell ref="UFP7:UFR7"/>
    <mergeCell ref="UEO7:UEQ7"/>
    <mergeCell ref="UER7:UET7"/>
    <mergeCell ref="UEU7:UEW7"/>
    <mergeCell ref="UEX7:UEZ7"/>
    <mergeCell ref="UFA7:UFC7"/>
    <mergeCell ref="UDZ7:UEB7"/>
    <mergeCell ref="UEC7:UEE7"/>
    <mergeCell ref="UEF7:UEH7"/>
    <mergeCell ref="UEI7:UEK7"/>
    <mergeCell ref="UEL7:UEN7"/>
    <mergeCell ref="UDK7:UDM7"/>
    <mergeCell ref="UDN7:UDP7"/>
    <mergeCell ref="UDQ7:UDS7"/>
    <mergeCell ref="UDT7:UDV7"/>
    <mergeCell ref="UDW7:UDY7"/>
    <mergeCell ref="UCV7:UCX7"/>
    <mergeCell ref="UCY7:UDA7"/>
    <mergeCell ref="UDB7:UDD7"/>
    <mergeCell ref="UDE7:UDG7"/>
    <mergeCell ref="UDH7:UDJ7"/>
    <mergeCell ref="UCG7:UCI7"/>
    <mergeCell ref="UCJ7:UCL7"/>
    <mergeCell ref="UCM7:UCO7"/>
    <mergeCell ref="UCP7:UCR7"/>
    <mergeCell ref="UCS7:UCU7"/>
    <mergeCell ref="UBR7:UBT7"/>
    <mergeCell ref="UBU7:UBW7"/>
    <mergeCell ref="UBX7:UBZ7"/>
    <mergeCell ref="UCA7:UCC7"/>
    <mergeCell ref="UCD7:UCF7"/>
    <mergeCell ref="UBC7:UBE7"/>
    <mergeCell ref="UBF7:UBH7"/>
    <mergeCell ref="UBI7:UBK7"/>
    <mergeCell ref="UBL7:UBN7"/>
    <mergeCell ref="UBO7:UBQ7"/>
    <mergeCell ref="UAN7:UAP7"/>
    <mergeCell ref="UAQ7:UAS7"/>
    <mergeCell ref="UAT7:UAV7"/>
    <mergeCell ref="UAW7:UAY7"/>
    <mergeCell ref="UAZ7:UBB7"/>
    <mergeCell ref="TZY7:UAA7"/>
    <mergeCell ref="UAB7:UAD7"/>
    <mergeCell ref="UAE7:UAG7"/>
    <mergeCell ref="UAH7:UAJ7"/>
    <mergeCell ref="UAK7:UAM7"/>
    <mergeCell ref="TZJ7:TZL7"/>
    <mergeCell ref="TZM7:TZO7"/>
    <mergeCell ref="TZP7:TZR7"/>
    <mergeCell ref="TZS7:TZU7"/>
    <mergeCell ref="TZV7:TZX7"/>
    <mergeCell ref="TYU7:TYW7"/>
    <mergeCell ref="TYX7:TYZ7"/>
    <mergeCell ref="TZA7:TZC7"/>
    <mergeCell ref="TZD7:TZF7"/>
    <mergeCell ref="TZG7:TZI7"/>
    <mergeCell ref="TYF7:TYH7"/>
    <mergeCell ref="TYI7:TYK7"/>
    <mergeCell ref="TYL7:TYN7"/>
    <mergeCell ref="TYO7:TYQ7"/>
    <mergeCell ref="TYR7:TYT7"/>
    <mergeCell ref="TXQ7:TXS7"/>
    <mergeCell ref="TXT7:TXV7"/>
    <mergeCell ref="TXW7:TXY7"/>
    <mergeCell ref="TXZ7:TYB7"/>
    <mergeCell ref="TYC7:TYE7"/>
    <mergeCell ref="TXB7:TXD7"/>
    <mergeCell ref="TXE7:TXG7"/>
    <mergeCell ref="TXH7:TXJ7"/>
    <mergeCell ref="TXK7:TXM7"/>
    <mergeCell ref="TXN7:TXP7"/>
    <mergeCell ref="TWM7:TWO7"/>
    <mergeCell ref="TWP7:TWR7"/>
    <mergeCell ref="TWS7:TWU7"/>
    <mergeCell ref="TWV7:TWX7"/>
    <mergeCell ref="TWY7:TXA7"/>
    <mergeCell ref="TVX7:TVZ7"/>
    <mergeCell ref="TWA7:TWC7"/>
    <mergeCell ref="TWD7:TWF7"/>
    <mergeCell ref="TWG7:TWI7"/>
    <mergeCell ref="TWJ7:TWL7"/>
    <mergeCell ref="TVI7:TVK7"/>
    <mergeCell ref="TVL7:TVN7"/>
    <mergeCell ref="TVO7:TVQ7"/>
    <mergeCell ref="TVR7:TVT7"/>
    <mergeCell ref="TVU7:TVW7"/>
    <mergeCell ref="TUT7:TUV7"/>
    <mergeCell ref="TUW7:TUY7"/>
    <mergeCell ref="TUZ7:TVB7"/>
    <mergeCell ref="TVC7:TVE7"/>
    <mergeCell ref="TVF7:TVH7"/>
    <mergeCell ref="TUE7:TUG7"/>
    <mergeCell ref="TUH7:TUJ7"/>
    <mergeCell ref="TUK7:TUM7"/>
    <mergeCell ref="TUN7:TUP7"/>
    <mergeCell ref="TUQ7:TUS7"/>
    <mergeCell ref="TTP7:TTR7"/>
    <mergeCell ref="TTS7:TTU7"/>
    <mergeCell ref="TTV7:TTX7"/>
    <mergeCell ref="TTY7:TUA7"/>
    <mergeCell ref="TUB7:TUD7"/>
    <mergeCell ref="TTA7:TTC7"/>
    <mergeCell ref="TTD7:TTF7"/>
    <mergeCell ref="TTG7:TTI7"/>
    <mergeCell ref="TTJ7:TTL7"/>
    <mergeCell ref="TTM7:TTO7"/>
    <mergeCell ref="TSL7:TSN7"/>
    <mergeCell ref="TSO7:TSQ7"/>
    <mergeCell ref="TSR7:TST7"/>
    <mergeCell ref="TSU7:TSW7"/>
    <mergeCell ref="TSX7:TSZ7"/>
    <mergeCell ref="TRW7:TRY7"/>
    <mergeCell ref="TRZ7:TSB7"/>
    <mergeCell ref="TSC7:TSE7"/>
    <mergeCell ref="TSF7:TSH7"/>
    <mergeCell ref="TSI7:TSK7"/>
    <mergeCell ref="TRH7:TRJ7"/>
    <mergeCell ref="TRK7:TRM7"/>
    <mergeCell ref="TRN7:TRP7"/>
    <mergeCell ref="TRQ7:TRS7"/>
    <mergeCell ref="TRT7:TRV7"/>
    <mergeCell ref="TQS7:TQU7"/>
    <mergeCell ref="TQV7:TQX7"/>
    <mergeCell ref="TQY7:TRA7"/>
    <mergeCell ref="TRB7:TRD7"/>
    <mergeCell ref="TRE7:TRG7"/>
    <mergeCell ref="TQD7:TQF7"/>
    <mergeCell ref="TQG7:TQI7"/>
    <mergeCell ref="TQJ7:TQL7"/>
    <mergeCell ref="TQM7:TQO7"/>
    <mergeCell ref="TQP7:TQR7"/>
    <mergeCell ref="TPO7:TPQ7"/>
    <mergeCell ref="TPR7:TPT7"/>
    <mergeCell ref="TPU7:TPW7"/>
    <mergeCell ref="TPX7:TPZ7"/>
    <mergeCell ref="TQA7:TQC7"/>
    <mergeCell ref="TOZ7:TPB7"/>
    <mergeCell ref="TPC7:TPE7"/>
    <mergeCell ref="TPF7:TPH7"/>
    <mergeCell ref="TPI7:TPK7"/>
    <mergeCell ref="TPL7:TPN7"/>
    <mergeCell ref="TOK7:TOM7"/>
    <mergeCell ref="TON7:TOP7"/>
    <mergeCell ref="TOQ7:TOS7"/>
    <mergeCell ref="TOT7:TOV7"/>
    <mergeCell ref="TOW7:TOY7"/>
    <mergeCell ref="TNV7:TNX7"/>
    <mergeCell ref="TNY7:TOA7"/>
    <mergeCell ref="TOB7:TOD7"/>
    <mergeCell ref="TOE7:TOG7"/>
    <mergeCell ref="TOH7:TOJ7"/>
    <mergeCell ref="TNG7:TNI7"/>
    <mergeCell ref="TNJ7:TNL7"/>
    <mergeCell ref="TNM7:TNO7"/>
    <mergeCell ref="TNP7:TNR7"/>
    <mergeCell ref="TNS7:TNU7"/>
    <mergeCell ref="TMR7:TMT7"/>
    <mergeCell ref="TMU7:TMW7"/>
    <mergeCell ref="TMX7:TMZ7"/>
    <mergeCell ref="TNA7:TNC7"/>
    <mergeCell ref="TND7:TNF7"/>
    <mergeCell ref="TMC7:TME7"/>
    <mergeCell ref="TMF7:TMH7"/>
    <mergeCell ref="TMI7:TMK7"/>
    <mergeCell ref="TML7:TMN7"/>
    <mergeCell ref="TMO7:TMQ7"/>
    <mergeCell ref="TLN7:TLP7"/>
    <mergeCell ref="TLQ7:TLS7"/>
    <mergeCell ref="TLT7:TLV7"/>
    <mergeCell ref="TLW7:TLY7"/>
    <mergeCell ref="TLZ7:TMB7"/>
    <mergeCell ref="TKY7:TLA7"/>
    <mergeCell ref="TLB7:TLD7"/>
    <mergeCell ref="TLE7:TLG7"/>
    <mergeCell ref="TLH7:TLJ7"/>
    <mergeCell ref="TLK7:TLM7"/>
    <mergeCell ref="TKJ7:TKL7"/>
    <mergeCell ref="TKM7:TKO7"/>
    <mergeCell ref="TKP7:TKR7"/>
    <mergeCell ref="TKS7:TKU7"/>
    <mergeCell ref="TKV7:TKX7"/>
    <mergeCell ref="TJU7:TJW7"/>
    <mergeCell ref="TJX7:TJZ7"/>
    <mergeCell ref="TKA7:TKC7"/>
    <mergeCell ref="TKD7:TKF7"/>
    <mergeCell ref="TKG7:TKI7"/>
    <mergeCell ref="TJF7:TJH7"/>
    <mergeCell ref="TJI7:TJK7"/>
    <mergeCell ref="TJL7:TJN7"/>
    <mergeCell ref="TJO7:TJQ7"/>
    <mergeCell ref="TJR7:TJT7"/>
    <mergeCell ref="TIQ7:TIS7"/>
    <mergeCell ref="TIT7:TIV7"/>
    <mergeCell ref="TIW7:TIY7"/>
    <mergeCell ref="TIZ7:TJB7"/>
    <mergeCell ref="TJC7:TJE7"/>
    <mergeCell ref="TIB7:TID7"/>
    <mergeCell ref="TIE7:TIG7"/>
    <mergeCell ref="TIH7:TIJ7"/>
    <mergeCell ref="TIK7:TIM7"/>
    <mergeCell ref="TIN7:TIP7"/>
    <mergeCell ref="THM7:THO7"/>
    <mergeCell ref="THP7:THR7"/>
    <mergeCell ref="THS7:THU7"/>
    <mergeCell ref="THV7:THX7"/>
    <mergeCell ref="THY7:TIA7"/>
    <mergeCell ref="TGX7:TGZ7"/>
    <mergeCell ref="THA7:THC7"/>
    <mergeCell ref="THD7:THF7"/>
    <mergeCell ref="THG7:THI7"/>
    <mergeCell ref="THJ7:THL7"/>
    <mergeCell ref="TGI7:TGK7"/>
    <mergeCell ref="TGL7:TGN7"/>
    <mergeCell ref="TGO7:TGQ7"/>
    <mergeCell ref="TGR7:TGT7"/>
    <mergeCell ref="TGU7:TGW7"/>
    <mergeCell ref="TFT7:TFV7"/>
    <mergeCell ref="TFW7:TFY7"/>
    <mergeCell ref="TFZ7:TGB7"/>
    <mergeCell ref="TGC7:TGE7"/>
    <mergeCell ref="TGF7:TGH7"/>
    <mergeCell ref="TFE7:TFG7"/>
    <mergeCell ref="TFH7:TFJ7"/>
    <mergeCell ref="TFK7:TFM7"/>
    <mergeCell ref="TFN7:TFP7"/>
    <mergeCell ref="TFQ7:TFS7"/>
    <mergeCell ref="TEP7:TER7"/>
    <mergeCell ref="TES7:TEU7"/>
    <mergeCell ref="TEV7:TEX7"/>
    <mergeCell ref="TEY7:TFA7"/>
    <mergeCell ref="TFB7:TFD7"/>
    <mergeCell ref="TEA7:TEC7"/>
    <mergeCell ref="TED7:TEF7"/>
    <mergeCell ref="TEG7:TEI7"/>
    <mergeCell ref="TEJ7:TEL7"/>
    <mergeCell ref="TEM7:TEO7"/>
    <mergeCell ref="TDL7:TDN7"/>
    <mergeCell ref="TDO7:TDQ7"/>
    <mergeCell ref="TDR7:TDT7"/>
    <mergeCell ref="TDU7:TDW7"/>
    <mergeCell ref="TDX7:TDZ7"/>
    <mergeCell ref="TCW7:TCY7"/>
    <mergeCell ref="TCZ7:TDB7"/>
    <mergeCell ref="TDC7:TDE7"/>
    <mergeCell ref="TDF7:TDH7"/>
    <mergeCell ref="TDI7:TDK7"/>
    <mergeCell ref="TCH7:TCJ7"/>
    <mergeCell ref="TCK7:TCM7"/>
    <mergeCell ref="TCN7:TCP7"/>
    <mergeCell ref="TCQ7:TCS7"/>
    <mergeCell ref="TCT7:TCV7"/>
    <mergeCell ref="TBS7:TBU7"/>
    <mergeCell ref="TBV7:TBX7"/>
    <mergeCell ref="TBY7:TCA7"/>
    <mergeCell ref="TCB7:TCD7"/>
    <mergeCell ref="TCE7:TCG7"/>
    <mergeCell ref="TBD7:TBF7"/>
    <mergeCell ref="TBG7:TBI7"/>
    <mergeCell ref="TBJ7:TBL7"/>
    <mergeCell ref="TBM7:TBO7"/>
    <mergeCell ref="TBP7:TBR7"/>
    <mergeCell ref="TAO7:TAQ7"/>
    <mergeCell ref="TAR7:TAT7"/>
    <mergeCell ref="TAU7:TAW7"/>
    <mergeCell ref="TAX7:TAZ7"/>
    <mergeCell ref="TBA7:TBC7"/>
    <mergeCell ref="SZZ7:TAB7"/>
    <mergeCell ref="TAC7:TAE7"/>
    <mergeCell ref="TAF7:TAH7"/>
    <mergeCell ref="TAI7:TAK7"/>
    <mergeCell ref="TAL7:TAN7"/>
    <mergeCell ref="SZK7:SZM7"/>
    <mergeCell ref="SZN7:SZP7"/>
    <mergeCell ref="SZQ7:SZS7"/>
    <mergeCell ref="SZT7:SZV7"/>
    <mergeCell ref="SZW7:SZY7"/>
    <mergeCell ref="SYV7:SYX7"/>
    <mergeCell ref="SYY7:SZA7"/>
    <mergeCell ref="SZB7:SZD7"/>
    <mergeCell ref="SZE7:SZG7"/>
    <mergeCell ref="SZH7:SZJ7"/>
    <mergeCell ref="SYG7:SYI7"/>
    <mergeCell ref="SYJ7:SYL7"/>
    <mergeCell ref="SYM7:SYO7"/>
    <mergeCell ref="SYP7:SYR7"/>
    <mergeCell ref="SYS7:SYU7"/>
    <mergeCell ref="SXR7:SXT7"/>
    <mergeCell ref="SXU7:SXW7"/>
    <mergeCell ref="SXX7:SXZ7"/>
    <mergeCell ref="SYA7:SYC7"/>
    <mergeCell ref="SYD7:SYF7"/>
    <mergeCell ref="SXC7:SXE7"/>
    <mergeCell ref="SXF7:SXH7"/>
    <mergeCell ref="SXI7:SXK7"/>
    <mergeCell ref="SXL7:SXN7"/>
    <mergeCell ref="SXO7:SXQ7"/>
    <mergeCell ref="SWN7:SWP7"/>
    <mergeCell ref="SWQ7:SWS7"/>
    <mergeCell ref="SWT7:SWV7"/>
    <mergeCell ref="SWW7:SWY7"/>
    <mergeCell ref="SWZ7:SXB7"/>
    <mergeCell ref="SVY7:SWA7"/>
    <mergeCell ref="SWB7:SWD7"/>
    <mergeCell ref="SWE7:SWG7"/>
    <mergeCell ref="SWH7:SWJ7"/>
    <mergeCell ref="SWK7:SWM7"/>
    <mergeCell ref="SVJ7:SVL7"/>
    <mergeCell ref="SVM7:SVO7"/>
    <mergeCell ref="SVP7:SVR7"/>
    <mergeCell ref="SVS7:SVU7"/>
    <mergeCell ref="SVV7:SVX7"/>
    <mergeCell ref="SUU7:SUW7"/>
    <mergeCell ref="SUX7:SUZ7"/>
    <mergeCell ref="SVA7:SVC7"/>
    <mergeCell ref="SVD7:SVF7"/>
    <mergeCell ref="SVG7:SVI7"/>
    <mergeCell ref="SUF7:SUH7"/>
    <mergeCell ref="SUI7:SUK7"/>
    <mergeCell ref="SUL7:SUN7"/>
    <mergeCell ref="SUO7:SUQ7"/>
    <mergeCell ref="SUR7:SUT7"/>
    <mergeCell ref="STQ7:STS7"/>
    <mergeCell ref="STT7:STV7"/>
    <mergeCell ref="STW7:STY7"/>
    <mergeCell ref="STZ7:SUB7"/>
    <mergeCell ref="SUC7:SUE7"/>
    <mergeCell ref="STB7:STD7"/>
    <mergeCell ref="STE7:STG7"/>
    <mergeCell ref="STH7:STJ7"/>
    <mergeCell ref="STK7:STM7"/>
    <mergeCell ref="STN7:STP7"/>
    <mergeCell ref="SSM7:SSO7"/>
    <mergeCell ref="SSP7:SSR7"/>
    <mergeCell ref="SSS7:SSU7"/>
    <mergeCell ref="SSV7:SSX7"/>
    <mergeCell ref="SSY7:STA7"/>
    <mergeCell ref="SRX7:SRZ7"/>
    <mergeCell ref="SSA7:SSC7"/>
    <mergeCell ref="SSD7:SSF7"/>
    <mergeCell ref="SSG7:SSI7"/>
    <mergeCell ref="SSJ7:SSL7"/>
    <mergeCell ref="SRI7:SRK7"/>
    <mergeCell ref="SRL7:SRN7"/>
    <mergeCell ref="SRO7:SRQ7"/>
    <mergeCell ref="SRR7:SRT7"/>
    <mergeCell ref="SRU7:SRW7"/>
    <mergeCell ref="SQT7:SQV7"/>
    <mergeCell ref="SQW7:SQY7"/>
    <mergeCell ref="SQZ7:SRB7"/>
    <mergeCell ref="SRC7:SRE7"/>
    <mergeCell ref="SRF7:SRH7"/>
    <mergeCell ref="SQE7:SQG7"/>
    <mergeCell ref="SQH7:SQJ7"/>
    <mergeCell ref="SQK7:SQM7"/>
    <mergeCell ref="SQN7:SQP7"/>
    <mergeCell ref="SQQ7:SQS7"/>
    <mergeCell ref="SPP7:SPR7"/>
    <mergeCell ref="SPS7:SPU7"/>
    <mergeCell ref="SPV7:SPX7"/>
    <mergeCell ref="SPY7:SQA7"/>
    <mergeCell ref="SQB7:SQD7"/>
    <mergeCell ref="SPA7:SPC7"/>
    <mergeCell ref="SPD7:SPF7"/>
    <mergeCell ref="SPG7:SPI7"/>
    <mergeCell ref="SPJ7:SPL7"/>
    <mergeCell ref="SPM7:SPO7"/>
    <mergeCell ref="SOL7:SON7"/>
    <mergeCell ref="SOO7:SOQ7"/>
    <mergeCell ref="SOR7:SOT7"/>
    <mergeCell ref="SOU7:SOW7"/>
    <mergeCell ref="SOX7:SOZ7"/>
    <mergeCell ref="SNW7:SNY7"/>
    <mergeCell ref="SNZ7:SOB7"/>
    <mergeCell ref="SOC7:SOE7"/>
    <mergeCell ref="SOF7:SOH7"/>
    <mergeCell ref="SOI7:SOK7"/>
    <mergeCell ref="SNH7:SNJ7"/>
    <mergeCell ref="SNK7:SNM7"/>
    <mergeCell ref="SNN7:SNP7"/>
    <mergeCell ref="SNQ7:SNS7"/>
    <mergeCell ref="SNT7:SNV7"/>
    <mergeCell ref="SMS7:SMU7"/>
    <mergeCell ref="SMV7:SMX7"/>
    <mergeCell ref="SMY7:SNA7"/>
    <mergeCell ref="SNB7:SND7"/>
    <mergeCell ref="SNE7:SNG7"/>
    <mergeCell ref="SMD7:SMF7"/>
    <mergeCell ref="SMG7:SMI7"/>
    <mergeCell ref="SMJ7:SML7"/>
    <mergeCell ref="SMM7:SMO7"/>
    <mergeCell ref="SMP7:SMR7"/>
    <mergeCell ref="SLO7:SLQ7"/>
    <mergeCell ref="SLR7:SLT7"/>
    <mergeCell ref="SLU7:SLW7"/>
    <mergeCell ref="SLX7:SLZ7"/>
    <mergeCell ref="SMA7:SMC7"/>
    <mergeCell ref="SKZ7:SLB7"/>
    <mergeCell ref="SLC7:SLE7"/>
    <mergeCell ref="SLF7:SLH7"/>
    <mergeCell ref="SLI7:SLK7"/>
    <mergeCell ref="SLL7:SLN7"/>
    <mergeCell ref="SKK7:SKM7"/>
    <mergeCell ref="SKN7:SKP7"/>
    <mergeCell ref="SKQ7:SKS7"/>
    <mergeCell ref="SKT7:SKV7"/>
    <mergeCell ref="SKW7:SKY7"/>
    <mergeCell ref="SJV7:SJX7"/>
    <mergeCell ref="SJY7:SKA7"/>
    <mergeCell ref="SKB7:SKD7"/>
    <mergeCell ref="SKE7:SKG7"/>
    <mergeCell ref="SKH7:SKJ7"/>
    <mergeCell ref="SJG7:SJI7"/>
    <mergeCell ref="SJJ7:SJL7"/>
    <mergeCell ref="SJM7:SJO7"/>
    <mergeCell ref="SJP7:SJR7"/>
    <mergeCell ref="SJS7:SJU7"/>
    <mergeCell ref="SIR7:SIT7"/>
    <mergeCell ref="SIU7:SIW7"/>
    <mergeCell ref="SIX7:SIZ7"/>
    <mergeCell ref="SJA7:SJC7"/>
    <mergeCell ref="SJD7:SJF7"/>
    <mergeCell ref="SIC7:SIE7"/>
    <mergeCell ref="SIF7:SIH7"/>
    <mergeCell ref="SII7:SIK7"/>
    <mergeCell ref="SIL7:SIN7"/>
    <mergeCell ref="SIO7:SIQ7"/>
    <mergeCell ref="SHN7:SHP7"/>
    <mergeCell ref="SHQ7:SHS7"/>
    <mergeCell ref="SHT7:SHV7"/>
    <mergeCell ref="SHW7:SHY7"/>
    <mergeCell ref="SHZ7:SIB7"/>
    <mergeCell ref="SGY7:SHA7"/>
    <mergeCell ref="SHB7:SHD7"/>
    <mergeCell ref="SHE7:SHG7"/>
    <mergeCell ref="SHH7:SHJ7"/>
    <mergeCell ref="SHK7:SHM7"/>
    <mergeCell ref="SGJ7:SGL7"/>
    <mergeCell ref="SGM7:SGO7"/>
    <mergeCell ref="SGP7:SGR7"/>
    <mergeCell ref="SGS7:SGU7"/>
    <mergeCell ref="SGV7:SGX7"/>
    <mergeCell ref="SFU7:SFW7"/>
    <mergeCell ref="SFX7:SFZ7"/>
    <mergeCell ref="SGA7:SGC7"/>
    <mergeCell ref="SGD7:SGF7"/>
    <mergeCell ref="SGG7:SGI7"/>
    <mergeCell ref="SFF7:SFH7"/>
    <mergeCell ref="SFI7:SFK7"/>
    <mergeCell ref="SFL7:SFN7"/>
    <mergeCell ref="SFO7:SFQ7"/>
    <mergeCell ref="SFR7:SFT7"/>
    <mergeCell ref="SEQ7:SES7"/>
    <mergeCell ref="SET7:SEV7"/>
    <mergeCell ref="SEW7:SEY7"/>
    <mergeCell ref="SEZ7:SFB7"/>
    <mergeCell ref="SFC7:SFE7"/>
    <mergeCell ref="SEB7:SED7"/>
    <mergeCell ref="SEE7:SEG7"/>
    <mergeCell ref="SEH7:SEJ7"/>
    <mergeCell ref="SEK7:SEM7"/>
    <mergeCell ref="SEN7:SEP7"/>
    <mergeCell ref="SDM7:SDO7"/>
    <mergeCell ref="SDP7:SDR7"/>
    <mergeCell ref="SDS7:SDU7"/>
    <mergeCell ref="SDV7:SDX7"/>
    <mergeCell ref="SDY7:SEA7"/>
    <mergeCell ref="SCX7:SCZ7"/>
    <mergeCell ref="SDA7:SDC7"/>
    <mergeCell ref="SDD7:SDF7"/>
    <mergeCell ref="SDG7:SDI7"/>
    <mergeCell ref="SDJ7:SDL7"/>
    <mergeCell ref="SCI7:SCK7"/>
    <mergeCell ref="SCL7:SCN7"/>
    <mergeCell ref="SCO7:SCQ7"/>
    <mergeCell ref="SCR7:SCT7"/>
    <mergeCell ref="SCU7:SCW7"/>
    <mergeCell ref="SBT7:SBV7"/>
    <mergeCell ref="SBW7:SBY7"/>
    <mergeCell ref="SBZ7:SCB7"/>
    <mergeCell ref="SCC7:SCE7"/>
    <mergeCell ref="SCF7:SCH7"/>
    <mergeCell ref="SBE7:SBG7"/>
    <mergeCell ref="SBH7:SBJ7"/>
    <mergeCell ref="SBK7:SBM7"/>
    <mergeCell ref="SBN7:SBP7"/>
    <mergeCell ref="SBQ7:SBS7"/>
    <mergeCell ref="SAP7:SAR7"/>
    <mergeCell ref="SAS7:SAU7"/>
    <mergeCell ref="SAV7:SAX7"/>
    <mergeCell ref="SAY7:SBA7"/>
    <mergeCell ref="SBB7:SBD7"/>
    <mergeCell ref="SAA7:SAC7"/>
    <mergeCell ref="SAD7:SAF7"/>
    <mergeCell ref="SAG7:SAI7"/>
    <mergeCell ref="SAJ7:SAL7"/>
    <mergeCell ref="SAM7:SAO7"/>
    <mergeCell ref="RZL7:RZN7"/>
    <mergeCell ref="RZO7:RZQ7"/>
    <mergeCell ref="RZR7:RZT7"/>
    <mergeCell ref="RZU7:RZW7"/>
    <mergeCell ref="RZX7:RZZ7"/>
    <mergeCell ref="RYW7:RYY7"/>
    <mergeCell ref="RYZ7:RZB7"/>
    <mergeCell ref="RZC7:RZE7"/>
    <mergeCell ref="RZF7:RZH7"/>
    <mergeCell ref="RZI7:RZK7"/>
    <mergeCell ref="RYH7:RYJ7"/>
    <mergeCell ref="RYK7:RYM7"/>
    <mergeCell ref="RYN7:RYP7"/>
    <mergeCell ref="RYQ7:RYS7"/>
    <mergeCell ref="RYT7:RYV7"/>
    <mergeCell ref="RXS7:RXU7"/>
    <mergeCell ref="RXV7:RXX7"/>
    <mergeCell ref="RXY7:RYA7"/>
    <mergeCell ref="RYB7:RYD7"/>
    <mergeCell ref="RYE7:RYG7"/>
    <mergeCell ref="RXD7:RXF7"/>
    <mergeCell ref="RXG7:RXI7"/>
    <mergeCell ref="RXJ7:RXL7"/>
    <mergeCell ref="RXM7:RXO7"/>
    <mergeCell ref="RXP7:RXR7"/>
    <mergeCell ref="RWO7:RWQ7"/>
    <mergeCell ref="RWR7:RWT7"/>
    <mergeCell ref="RWU7:RWW7"/>
    <mergeCell ref="RWX7:RWZ7"/>
    <mergeCell ref="RXA7:RXC7"/>
    <mergeCell ref="RVZ7:RWB7"/>
    <mergeCell ref="RWC7:RWE7"/>
    <mergeCell ref="RWF7:RWH7"/>
    <mergeCell ref="RWI7:RWK7"/>
    <mergeCell ref="RWL7:RWN7"/>
    <mergeCell ref="RVK7:RVM7"/>
    <mergeCell ref="RVN7:RVP7"/>
    <mergeCell ref="RVQ7:RVS7"/>
    <mergeCell ref="RVT7:RVV7"/>
    <mergeCell ref="RVW7:RVY7"/>
    <mergeCell ref="RUV7:RUX7"/>
    <mergeCell ref="RUY7:RVA7"/>
    <mergeCell ref="RVB7:RVD7"/>
    <mergeCell ref="RVE7:RVG7"/>
    <mergeCell ref="RVH7:RVJ7"/>
    <mergeCell ref="RUG7:RUI7"/>
    <mergeCell ref="RUJ7:RUL7"/>
    <mergeCell ref="RUM7:RUO7"/>
    <mergeCell ref="RUP7:RUR7"/>
    <mergeCell ref="RUS7:RUU7"/>
    <mergeCell ref="RTR7:RTT7"/>
    <mergeCell ref="RTU7:RTW7"/>
    <mergeCell ref="RTX7:RTZ7"/>
    <mergeCell ref="RUA7:RUC7"/>
    <mergeCell ref="RUD7:RUF7"/>
    <mergeCell ref="RTC7:RTE7"/>
    <mergeCell ref="RTF7:RTH7"/>
    <mergeCell ref="RTI7:RTK7"/>
    <mergeCell ref="RTL7:RTN7"/>
    <mergeCell ref="RTO7:RTQ7"/>
    <mergeCell ref="RSN7:RSP7"/>
    <mergeCell ref="RSQ7:RSS7"/>
    <mergeCell ref="RST7:RSV7"/>
    <mergeCell ref="RSW7:RSY7"/>
    <mergeCell ref="RSZ7:RTB7"/>
    <mergeCell ref="RRY7:RSA7"/>
    <mergeCell ref="RSB7:RSD7"/>
    <mergeCell ref="RSE7:RSG7"/>
    <mergeCell ref="RSH7:RSJ7"/>
    <mergeCell ref="RSK7:RSM7"/>
    <mergeCell ref="RRJ7:RRL7"/>
    <mergeCell ref="RRM7:RRO7"/>
    <mergeCell ref="RRP7:RRR7"/>
    <mergeCell ref="RRS7:RRU7"/>
    <mergeCell ref="RRV7:RRX7"/>
    <mergeCell ref="RQU7:RQW7"/>
    <mergeCell ref="RQX7:RQZ7"/>
    <mergeCell ref="RRA7:RRC7"/>
    <mergeCell ref="RRD7:RRF7"/>
    <mergeCell ref="RRG7:RRI7"/>
    <mergeCell ref="RQF7:RQH7"/>
    <mergeCell ref="RQI7:RQK7"/>
    <mergeCell ref="RQL7:RQN7"/>
    <mergeCell ref="RQO7:RQQ7"/>
    <mergeCell ref="RQR7:RQT7"/>
    <mergeCell ref="RPQ7:RPS7"/>
    <mergeCell ref="RPT7:RPV7"/>
    <mergeCell ref="RPW7:RPY7"/>
    <mergeCell ref="RPZ7:RQB7"/>
    <mergeCell ref="RQC7:RQE7"/>
    <mergeCell ref="RPB7:RPD7"/>
    <mergeCell ref="RPE7:RPG7"/>
    <mergeCell ref="RPH7:RPJ7"/>
    <mergeCell ref="RPK7:RPM7"/>
    <mergeCell ref="RPN7:RPP7"/>
    <mergeCell ref="ROM7:ROO7"/>
    <mergeCell ref="ROP7:ROR7"/>
    <mergeCell ref="ROS7:ROU7"/>
    <mergeCell ref="ROV7:ROX7"/>
    <mergeCell ref="ROY7:RPA7"/>
    <mergeCell ref="RNX7:RNZ7"/>
    <mergeCell ref="ROA7:ROC7"/>
    <mergeCell ref="ROD7:ROF7"/>
    <mergeCell ref="ROG7:ROI7"/>
    <mergeCell ref="ROJ7:ROL7"/>
    <mergeCell ref="RNI7:RNK7"/>
    <mergeCell ref="RNL7:RNN7"/>
    <mergeCell ref="RNO7:RNQ7"/>
    <mergeCell ref="RNR7:RNT7"/>
    <mergeCell ref="RNU7:RNW7"/>
    <mergeCell ref="RMT7:RMV7"/>
    <mergeCell ref="RMW7:RMY7"/>
    <mergeCell ref="RMZ7:RNB7"/>
    <mergeCell ref="RNC7:RNE7"/>
    <mergeCell ref="RNF7:RNH7"/>
    <mergeCell ref="RME7:RMG7"/>
    <mergeCell ref="RMH7:RMJ7"/>
    <mergeCell ref="RMK7:RMM7"/>
    <mergeCell ref="RMN7:RMP7"/>
    <mergeCell ref="RMQ7:RMS7"/>
    <mergeCell ref="RLP7:RLR7"/>
    <mergeCell ref="RLS7:RLU7"/>
    <mergeCell ref="RLV7:RLX7"/>
    <mergeCell ref="RLY7:RMA7"/>
    <mergeCell ref="RMB7:RMD7"/>
    <mergeCell ref="RLA7:RLC7"/>
    <mergeCell ref="RLD7:RLF7"/>
    <mergeCell ref="RLG7:RLI7"/>
    <mergeCell ref="RLJ7:RLL7"/>
    <mergeCell ref="RLM7:RLO7"/>
    <mergeCell ref="RKL7:RKN7"/>
    <mergeCell ref="RKO7:RKQ7"/>
    <mergeCell ref="RKR7:RKT7"/>
    <mergeCell ref="RKU7:RKW7"/>
    <mergeCell ref="RKX7:RKZ7"/>
    <mergeCell ref="RJW7:RJY7"/>
    <mergeCell ref="RJZ7:RKB7"/>
    <mergeCell ref="RKC7:RKE7"/>
    <mergeCell ref="RKF7:RKH7"/>
    <mergeCell ref="RKI7:RKK7"/>
    <mergeCell ref="RJH7:RJJ7"/>
    <mergeCell ref="RJK7:RJM7"/>
    <mergeCell ref="RJN7:RJP7"/>
    <mergeCell ref="RJQ7:RJS7"/>
    <mergeCell ref="RJT7:RJV7"/>
    <mergeCell ref="RIS7:RIU7"/>
    <mergeCell ref="RIV7:RIX7"/>
    <mergeCell ref="RIY7:RJA7"/>
    <mergeCell ref="RJB7:RJD7"/>
    <mergeCell ref="RJE7:RJG7"/>
    <mergeCell ref="RID7:RIF7"/>
    <mergeCell ref="RIG7:RII7"/>
    <mergeCell ref="RIJ7:RIL7"/>
    <mergeCell ref="RIM7:RIO7"/>
    <mergeCell ref="RIP7:RIR7"/>
    <mergeCell ref="RHO7:RHQ7"/>
    <mergeCell ref="RHR7:RHT7"/>
    <mergeCell ref="RHU7:RHW7"/>
    <mergeCell ref="RHX7:RHZ7"/>
    <mergeCell ref="RIA7:RIC7"/>
    <mergeCell ref="RGZ7:RHB7"/>
    <mergeCell ref="RHC7:RHE7"/>
    <mergeCell ref="RHF7:RHH7"/>
    <mergeCell ref="RHI7:RHK7"/>
    <mergeCell ref="RHL7:RHN7"/>
    <mergeCell ref="RGK7:RGM7"/>
    <mergeCell ref="RGN7:RGP7"/>
    <mergeCell ref="RGQ7:RGS7"/>
    <mergeCell ref="RGT7:RGV7"/>
    <mergeCell ref="RGW7:RGY7"/>
    <mergeCell ref="RFV7:RFX7"/>
    <mergeCell ref="RFY7:RGA7"/>
    <mergeCell ref="RGB7:RGD7"/>
    <mergeCell ref="RGE7:RGG7"/>
    <mergeCell ref="RGH7:RGJ7"/>
    <mergeCell ref="RFG7:RFI7"/>
    <mergeCell ref="RFJ7:RFL7"/>
    <mergeCell ref="RFM7:RFO7"/>
    <mergeCell ref="RFP7:RFR7"/>
    <mergeCell ref="RFS7:RFU7"/>
    <mergeCell ref="RER7:RET7"/>
    <mergeCell ref="REU7:REW7"/>
    <mergeCell ref="REX7:REZ7"/>
    <mergeCell ref="RFA7:RFC7"/>
    <mergeCell ref="RFD7:RFF7"/>
    <mergeCell ref="REC7:REE7"/>
    <mergeCell ref="REF7:REH7"/>
    <mergeCell ref="REI7:REK7"/>
    <mergeCell ref="REL7:REN7"/>
    <mergeCell ref="REO7:REQ7"/>
    <mergeCell ref="RDN7:RDP7"/>
    <mergeCell ref="RDQ7:RDS7"/>
    <mergeCell ref="RDT7:RDV7"/>
    <mergeCell ref="RDW7:RDY7"/>
    <mergeCell ref="RDZ7:REB7"/>
    <mergeCell ref="RCY7:RDA7"/>
    <mergeCell ref="RDB7:RDD7"/>
    <mergeCell ref="RDE7:RDG7"/>
    <mergeCell ref="RDH7:RDJ7"/>
    <mergeCell ref="RDK7:RDM7"/>
    <mergeCell ref="RCJ7:RCL7"/>
    <mergeCell ref="RCM7:RCO7"/>
    <mergeCell ref="RCP7:RCR7"/>
    <mergeCell ref="RCS7:RCU7"/>
    <mergeCell ref="RCV7:RCX7"/>
    <mergeCell ref="RBU7:RBW7"/>
    <mergeCell ref="RBX7:RBZ7"/>
    <mergeCell ref="RCA7:RCC7"/>
    <mergeCell ref="RCD7:RCF7"/>
    <mergeCell ref="RCG7:RCI7"/>
    <mergeCell ref="RBF7:RBH7"/>
    <mergeCell ref="RBI7:RBK7"/>
    <mergeCell ref="RBL7:RBN7"/>
    <mergeCell ref="RBO7:RBQ7"/>
    <mergeCell ref="RBR7:RBT7"/>
    <mergeCell ref="RAQ7:RAS7"/>
    <mergeCell ref="RAT7:RAV7"/>
    <mergeCell ref="RAW7:RAY7"/>
    <mergeCell ref="RAZ7:RBB7"/>
    <mergeCell ref="RBC7:RBE7"/>
    <mergeCell ref="RAB7:RAD7"/>
    <mergeCell ref="RAE7:RAG7"/>
    <mergeCell ref="RAH7:RAJ7"/>
    <mergeCell ref="RAK7:RAM7"/>
    <mergeCell ref="RAN7:RAP7"/>
    <mergeCell ref="QZM7:QZO7"/>
    <mergeCell ref="QZP7:QZR7"/>
    <mergeCell ref="QZS7:QZU7"/>
    <mergeCell ref="QZV7:QZX7"/>
    <mergeCell ref="QZY7:RAA7"/>
    <mergeCell ref="QYX7:QYZ7"/>
    <mergeCell ref="QZA7:QZC7"/>
    <mergeCell ref="QZD7:QZF7"/>
    <mergeCell ref="QZG7:QZI7"/>
    <mergeCell ref="QZJ7:QZL7"/>
    <mergeCell ref="QYI7:QYK7"/>
    <mergeCell ref="QYL7:QYN7"/>
    <mergeCell ref="QYO7:QYQ7"/>
    <mergeCell ref="QYR7:QYT7"/>
    <mergeCell ref="QYU7:QYW7"/>
    <mergeCell ref="QXT7:QXV7"/>
    <mergeCell ref="QXW7:QXY7"/>
    <mergeCell ref="QXZ7:QYB7"/>
    <mergeCell ref="QYC7:QYE7"/>
    <mergeCell ref="QYF7:QYH7"/>
    <mergeCell ref="QXE7:QXG7"/>
    <mergeCell ref="QXH7:QXJ7"/>
    <mergeCell ref="QXK7:QXM7"/>
    <mergeCell ref="QXN7:QXP7"/>
    <mergeCell ref="QXQ7:QXS7"/>
    <mergeCell ref="QWP7:QWR7"/>
    <mergeCell ref="QWS7:QWU7"/>
    <mergeCell ref="QWV7:QWX7"/>
    <mergeCell ref="QWY7:QXA7"/>
    <mergeCell ref="QXB7:QXD7"/>
    <mergeCell ref="QWA7:QWC7"/>
    <mergeCell ref="QWD7:QWF7"/>
    <mergeCell ref="QWG7:QWI7"/>
    <mergeCell ref="QWJ7:QWL7"/>
    <mergeCell ref="QWM7:QWO7"/>
    <mergeCell ref="QVL7:QVN7"/>
    <mergeCell ref="QVO7:QVQ7"/>
    <mergeCell ref="QVR7:QVT7"/>
    <mergeCell ref="QVU7:QVW7"/>
    <mergeCell ref="QVX7:QVZ7"/>
    <mergeCell ref="QUW7:QUY7"/>
    <mergeCell ref="QUZ7:QVB7"/>
    <mergeCell ref="QVC7:QVE7"/>
    <mergeCell ref="QVF7:QVH7"/>
    <mergeCell ref="QVI7:QVK7"/>
    <mergeCell ref="QUH7:QUJ7"/>
    <mergeCell ref="QUK7:QUM7"/>
    <mergeCell ref="QUN7:QUP7"/>
    <mergeCell ref="QUQ7:QUS7"/>
    <mergeCell ref="QUT7:QUV7"/>
    <mergeCell ref="QTS7:QTU7"/>
    <mergeCell ref="QTV7:QTX7"/>
    <mergeCell ref="QTY7:QUA7"/>
    <mergeCell ref="QUB7:QUD7"/>
    <mergeCell ref="QUE7:QUG7"/>
    <mergeCell ref="QTD7:QTF7"/>
    <mergeCell ref="QTG7:QTI7"/>
    <mergeCell ref="QTJ7:QTL7"/>
    <mergeCell ref="QTM7:QTO7"/>
    <mergeCell ref="QTP7:QTR7"/>
    <mergeCell ref="QSO7:QSQ7"/>
    <mergeCell ref="QSR7:QST7"/>
    <mergeCell ref="QSU7:QSW7"/>
    <mergeCell ref="QSX7:QSZ7"/>
    <mergeCell ref="QTA7:QTC7"/>
    <mergeCell ref="QRZ7:QSB7"/>
    <mergeCell ref="QSC7:QSE7"/>
    <mergeCell ref="QSF7:QSH7"/>
    <mergeCell ref="QSI7:QSK7"/>
    <mergeCell ref="QSL7:QSN7"/>
    <mergeCell ref="QRK7:QRM7"/>
    <mergeCell ref="QRN7:QRP7"/>
    <mergeCell ref="QRQ7:QRS7"/>
    <mergeCell ref="QRT7:QRV7"/>
    <mergeCell ref="QRW7:QRY7"/>
    <mergeCell ref="QQV7:QQX7"/>
    <mergeCell ref="QQY7:QRA7"/>
    <mergeCell ref="QRB7:QRD7"/>
    <mergeCell ref="QRE7:QRG7"/>
    <mergeCell ref="QRH7:QRJ7"/>
    <mergeCell ref="QQG7:QQI7"/>
    <mergeCell ref="QQJ7:QQL7"/>
    <mergeCell ref="QQM7:QQO7"/>
    <mergeCell ref="QQP7:QQR7"/>
    <mergeCell ref="QQS7:QQU7"/>
    <mergeCell ref="QPR7:QPT7"/>
    <mergeCell ref="QPU7:QPW7"/>
    <mergeCell ref="QPX7:QPZ7"/>
    <mergeCell ref="QQA7:QQC7"/>
    <mergeCell ref="QQD7:QQF7"/>
    <mergeCell ref="QPC7:QPE7"/>
    <mergeCell ref="QPF7:QPH7"/>
    <mergeCell ref="QPI7:QPK7"/>
    <mergeCell ref="QPL7:QPN7"/>
    <mergeCell ref="QPO7:QPQ7"/>
    <mergeCell ref="QON7:QOP7"/>
    <mergeCell ref="QOQ7:QOS7"/>
    <mergeCell ref="QOT7:QOV7"/>
    <mergeCell ref="QOW7:QOY7"/>
    <mergeCell ref="QOZ7:QPB7"/>
    <mergeCell ref="QNY7:QOA7"/>
    <mergeCell ref="QOB7:QOD7"/>
    <mergeCell ref="QOE7:QOG7"/>
    <mergeCell ref="QOH7:QOJ7"/>
    <mergeCell ref="QOK7:QOM7"/>
    <mergeCell ref="QNJ7:QNL7"/>
    <mergeCell ref="QNM7:QNO7"/>
    <mergeCell ref="QNP7:QNR7"/>
    <mergeCell ref="QNS7:QNU7"/>
    <mergeCell ref="QNV7:QNX7"/>
    <mergeCell ref="QMU7:QMW7"/>
    <mergeCell ref="QMX7:QMZ7"/>
    <mergeCell ref="QNA7:QNC7"/>
    <mergeCell ref="QND7:QNF7"/>
    <mergeCell ref="QNG7:QNI7"/>
    <mergeCell ref="QMF7:QMH7"/>
    <mergeCell ref="QMI7:QMK7"/>
    <mergeCell ref="QML7:QMN7"/>
    <mergeCell ref="QMO7:QMQ7"/>
    <mergeCell ref="QMR7:QMT7"/>
    <mergeCell ref="QLQ7:QLS7"/>
    <mergeCell ref="QLT7:QLV7"/>
    <mergeCell ref="QLW7:QLY7"/>
    <mergeCell ref="QLZ7:QMB7"/>
    <mergeCell ref="QMC7:QME7"/>
    <mergeCell ref="QLB7:QLD7"/>
    <mergeCell ref="QLE7:QLG7"/>
    <mergeCell ref="QLH7:QLJ7"/>
    <mergeCell ref="QLK7:QLM7"/>
    <mergeCell ref="QLN7:QLP7"/>
    <mergeCell ref="QKM7:QKO7"/>
    <mergeCell ref="QKP7:QKR7"/>
    <mergeCell ref="QKS7:QKU7"/>
    <mergeCell ref="QKV7:QKX7"/>
    <mergeCell ref="QKY7:QLA7"/>
    <mergeCell ref="QJX7:QJZ7"/>
    <mergeCell ref="QKA7:QKC7"/>
    <mergeCell ref="QKD7:QKF7"/>
    <mergeCell ref="QKG7:QKI7"/>
    <mergeCell ref="QKJ7:QKL7"/>
    <mergeCell ref="QJI7:QJK7"/>
    <mergeCell ref="QJL7:QJN7"/>
    <mergeCell ref="QJO7:QJQ7"/>
    <mergeCell ref="QJR7:QJT7"/>
    <mergeCell ref="QJU7:QJW7"/>
    <mergeCell ref="QIT7:QIV7"/>
    <mergeCell ref="QIW7:QIY7"/>
    <mergeCell ref="QIZ7:QJB7"/>
    <mergeCell ref="QJC7:QJE7"/>
    <mergeCell ref="QJF7:QJH7"/>
    <mergeCell ref="QIE7:QIG7"/>
    <mergeCell ref="QIH7:QIJ7"/>
    <mergeCell ref="QIK7:QIM7"/>
    <mergeCell ref="QIN7:QIP7"/>
    <mergeCell ref="QIQ7:QIS7"/>
    <mergeCell ref="QHP7:QHR7"/>
    <mergeCell ref="QHS7:QHU7"/>
    <mergeCell ref="QHV7:QHX7"/>
    <mergeCell ref="QHY7:QIA7"/>
    <mergeCell ref="QIB7:QID7"/>
    <mergeCell ref="QHA7:QHC7"/>
    <mergeCell ref="QHD7:QHF7"/>
    <mergeCell ref="QHG7:QHI7"/>
    <mergeCell ref="QHJ7:QHL7"/>
    <mergeCell ref="QHM7:QHO7"/>
    <mergeCell ref="QGL7:QGN7"/>
    <mergeCell ref="QGO7:QGQ7"/>
    <mergeCell ref="QGR7:QGT7"/>
    <mergeCell ref="QGU7:QGW7"/>
    <mergeCell ref="QGX7:QGZ7"/>
    <mergeCell ref="QFW7:QFY7"/>
    <mergeCell ref="QFZ7:QGB7"/>
    <mergeCell ref="QGC7:QGE7"/>
    <mergeCell ref="QGF7:QGH7"/>
    <mergeCell ref="QGI7:QGK7"/>
    <mergeCell ref="QFH7:QFJ7"/>
    <mergeCell ref="QFK7:QFM7"/>
    <mergeCell ref="QFN7:QFP7"/>
    <mergeCell ref="QFQ7:QFS7"/>
    <mergeCell ref="QFT7:QFV7"/>
    <mergeCell ref="QES7:QEU7"/>
    <mergeCell ref="QEV7:QEX7"/>
    <mergeCell ref="QEY7:QFA7"/>
    <mergeCell ref="QFB7:QFD7"/>
    <mergeCell ref="QFE7:QFG7"/>
    <mergeCell ref="QED7:QEF7"/>
    <mergeCell ref="QEG7:QEI7"/>
    <mergeCell ref="QEJ7:QEL7"/>
    <mergeCell ref="QEM7:QEO7"/>
    <mergeCell ref="QEP7:QER7"/>
    <mergeCell ref="QDO7:QDQ7"/>
    <mergeCell ref="QDR7:QDT7"/>
    <mergeCell ref="QDU7:QDW7"/>
    <mergeCell ref="QDX7:QDZ7"/>
    <mergeCell ref="QEA7:QEC7"/>
    <mergeCell ref="QCZ7:QDB7"/>
    <mergeCell ref="QDC7:QDE7"/>
    <mergeCell ref="QDF7:QDH7"/>
    <mergeCell ref="QDI7:QDK7"/>
    <mergeCell ref="QDL7:QDN7"/>
    <mergeCell ref="QCK7:QCM7"/>
    <mergeCell ref="QCN7:QCP7"/>
    <mergeCell ref="QCQ7:QCS7"/>
    <mergeCell ref="QCT7:QCV7"/>
    <mergeCell ref="QCW7:QCY7"/>
    <mergeCell ref="QBV7:QBX7"/>
    <mergeCell ref="QBY7:QCA7"/>
    <mergeCell ref="QCB7:QCD7"/>
    <mergeCell ref="QCE7:QCG7"/>
    <mergeCell ref="QCH7:QCJ7"/>
    <mergeCell ref="QBG7:QBI7"/>
    <mergeCell ref="QBJ7:QBL7"/>
    <mergeCell ref="QBM7:QBO7"/>
    <mergeCell ref="QBP7:QBR7"/>
    <mergeCell ref="QBS7:QBU7"/>
    <mergeCell ref="QAR7:QAT7"/>
    <mergeCell ref="QAU7:QAW7"/>
    <mergeCell ref="QAX7:QAZ7"/>
    <mergeCell ref="QBA7:QBC7"/>
    <mergeCell ref="QBD7:QBF7"/>
    <mergeCell ref="QAC7:QAE7"/>
    <mergeCell ref="QAF7:QAH7"/>
    <mergeCell ref="QAI7:QAK7"/>
    <mergeCell ref="QAL7:QAN7"/>
    <mergeCell ref="QAO7:QAQ7"/>
    <mergeCell ref="PZN7:PZP7"/>
    <mergeCell ref="PZQ7:PZS7"/>
    <mergeCell ref="PZT7:PZV7"/>
    <mergeCell ref="PZW7:PZY7"/>
    <mergeCell ref="PZZ7:QAB7"/>
    <mergeCell ref="PYY7:PZA7"/>
    <mergeCell ref="PZB7:PZD7"/>
    <mergeCell ref="PZE7:PZG7"/>
    <mergeCell ref="PZH7:PZJ7"/>
    <mergeCell ref="PZK7:PZM7"/>
    <mergeCell ref="PYJ7:PYL7"/>
    <mergeCell ref="PYM7:PYO7"/>
    <mergeCell ref="PYP7:PYR7"/>
    <mergeCell ref="PYS7:PYU7"/>
    <mergeCell ref="PYV7:PYX7"/>
    <mergeCell ref="PXU7:PXW7"/>
    <mergeCell ref="PXX7:PXZ7"/>
    <mergeCell ref="PYA7:PYC7"/>
    <mergeCell ref="PYD7:PYF7"/>
    <mergeCell ref="PYG7:PYI7"/>
    <mergeCell ref="PXF7:PXH7"/>
    <mergeCell ref="PXI7:PXK7"/>
    <mergeCell ref="PXL7:PXN7"/>
    <mergeCell ref="PXO7:PXQ7"/>
    <mergeCell ref="PXR7:PXT7"/>
    <mergeCell ref="PWQ7:PWS7"/>
    <mergeCell ref="PWT7:PWV7"/>
    <mergeCell ref="PWW7:PWY7"/>
    <mergeCell ref="PWZ7:PXB7"/>
    <mergeCell ref="PXC7:PXE7"/>
    <mergeCell ref="PWB7:PWD7"/>
    <mergeCell ref="PWE7:PWG7"/>
    <mergeCell ref="PWH7:PWJ7"/>
    <mergeCell ref="PWK7:PWM7"/>
    <mergeCell ref="PWN7:PWP7"/>
    <mergeCell ref="PVM7:PVO7"/>
    <mergeCell ref="PVP7:PVR7"/>
    <mergeCell ref="PVS7:PVU7"/>
    <mergeCell ref="PVV7:PVX7"/>
    <mergeCell ref="PVY7:PWA7"/>
    <mergeCell ref="PUX7:PUZ7"/>
    <mergeCell ref="PVA7:PVC7"/>
    <mergeCell ref="PVD7:PVF7"/>
    <mergeCell ref="PVG7:PVI7"/>
    <mergeCell ref="PVJ7:PVL7"/>
    <mergeCell ref="PUI7:PUK7"/>
    <mergeCell ref="PUL7:PUN7"/>
    <mergeCell ref="PUO7:PUQ7"/>
    <mergeCell ref="PUR7:PUT7"/>
    <mergeCell ref="PUU7:PUW7"/>
    <mergeCell ref="PTT7:PTV7"/>
    <mergeCell ref="PTW7:PTY7"/>
    <mergeCell ref="PTZ7:PUB7"/>
    <mergeCell ref="PUC7:PUE7"/>
    <mergeCell ref="PUF7:PUH7"/>
    <mergeCell ref="PTE7:PTG7"/>
    <mergeCell ref="PTH7:PTJ7"/>
    <mergeCell ref="PTK7:PTM7"/>
    <mergeCell ref="PTN7:PTP7"/>
    <mergeCell ref="PTQ7:PTS7"/>
    <mergeCell ref="PSP7:PSR7"/>
    <mergeCell ref="PSS7:PSU7"/>
    <mergeCell ref="PSV7:PSX7"/>
    <mergeCell ref="PSY7:PTA7"/>
    <mergeCell ref="PTB7:PTD7"/>
    <mergeCell ref="PSA7:PSC7"/>
    <mergeCell ref="PSD7:PSF7"/>
    <mergeCell ref="PSG7:PSI7"/>
    <mergeCell ref="PSJ7:PSL7"/>
    <mergeCell ref="PSM7:PSO7"/>
    <mergeCell ref="PRL7:PRN7"/>
    <mergeCell ref="PRO7:PRQ7"/>
    <mergeCell ref="PRR7:PRT7"/>
    <mergeCell ref="PRU7:PRW7"/>
    <mergeCell ref="PRX7:PRZ7"/>
    <mergeCell ref="PQW7:PQY7"/>
    <mergeCell ref="PQZ7:PRB7"/>
    <mergeCell ref="PRC7:PRE7"/>
    <mergeCell ref="PRF7:PRH7"/>
    <mergeCell ref="PRI7:PRK7"/>
    <mergeCell ref="PQH7:PQJ7"/>
    <mergeCell ref="PQK7:PQM7"/>
    <mergeCell ref="PQN7:PQP7"/>
    <mergeCell ref="PQQ7:PQS7"/>
    <mergeCell ref="PQT7:PQV7"/>
    <mergeCell ref="PPS7:PPU7"/>
    <mergeCell ref="PPV7:PPX7"/>
    <mergeCell ref="PPY7:PQA7"/>
    <mergeCell ref="PQB7:PQD7"/>
    <mergeCell ref="PQE7:PQG7"/>
    <mergeCell ref="PPD7:PPF7"/>
    <mergeCell ref="PPG7:PPI7"/>
    <mergeCell ref="PPJ7:PPL7"/>
    <mergeCell ref="PPM7:PPO7"/>
    <mergeCell ref="PPP7:PPR7"/>
    <mergeCell ref="POO7:POQ7"/>
    <mergeCell ref="POR7:POT7"/>
    <mergeCell ref="POU7:POW7"/>
    <mergeCell ref="POX7:POZ7"/>
    <mergeCell ref="PPA7:PPC7"/>
    <mergeCell ref="PNZ7:POB7"/>
    <mergeCell ref="POC7:POE7"/>
    <mergeCell ref="POF7:POH7"/>
    <mergeCell ref="POI7:POK7"/>
    <mergeCell ref="POL7:PON7"/>
    <mergeCell ref="PNK7:PNM7"/>
    <mergeCell ref="PNN7:PNP7"/>
    <mergeCell ref="PNQ7:PNS7"/>
    <mergeCell ref="PNT7:PNV7"/>
    <mergeCell ref="PNW7:PNY7"/>
    <mergeCell ref="PMV7:PMX7"/>
    <mergeCell ref="PMY7:PNA7"/>
    <mergeCell ref="PNB7:PND7"/>
    <mergeCell ref="PNE7:PNG7"/>
    <mergeCell ref="PNH7:PNJ7"/>
    <mergeCell ref="PMG7:PMI7"/>
    <mergeCell ref="PMJ7:PML7"/>
    <mergeCell ref="PMM7:PMO7"/>
    <mergeCell ref="PMP7:PMR7"/>
    <mergeCell ref="PMS7:PMU7"/>
    <mergeCell ref="PLR7:PLT7"/>
    <mergeCell ref="PLU7:PLW7"/>
    <mergeCell ref="PLX7:PLZ7"/>
    <mergeCell ref="PMA7:PMC7"/>
    <mergeCell ref="PMD7:PMF7"/>
    <mergeCell ref="PLC7:PLE7"/>
    <mergeCell ref="PLF7:PLH7"/>
    <mergeCell ref="PLI7:PLK7"/>
    <mergeCell ref="PLL7:PLN7"/>
    <mergeCell ref="PLO7:PLQ7"/>
    <mergeCell ref="PKN7:PKP7"/>
    <mergeCell ref="PKQ7:PKS7"/>
    <mergeCell ref="PKT7:PKV7"/>
    <mergeCell ref="PKW7:PKY7"/>
    <mergeCell ref="PKZ7:PLB7"/>
    <mergeCell ref="PJY7:PKA7"/>
    <mergeCell ref="PKB7:PKD7"/>
    <mergeCell ref="PKE7:PKG7"/>
    <mergeCell ref="PKH7:PKJ7"/>
    <mergeCell ref="PKK7:PKM7"/>
    <mergeCell ref="PJJ7:PJL7"/>
    <mergeCell ref="PJM7:PJO7"/>
    <mergeCell ref="PJP7:PJR7"/>
    <mergeCell ref="PJS7:PJU7"/>
    <mergeCell ref="PJV7:PJX7"/>
    <mergeCell ref="PIU7:PIW7"/>
    <mergeCell ref="PIX7:PIZ7"/>
    <mergeCell ref="PJA7:PJC7"/>
    <mergeCell ref="PJD7:PJF7"/>
    <mergeCell ref="PJG7:PJI7"/>
    <mergeCell ref="PIF7:PIH7"/>
    <mergeCell ref="PII7:PIK7"/>
    <mergeCell ref="PIL7:PIN7"/>
    <mergeCell ref="PIO7:PIQ7"/>
    <mergeCell ref="PIR7:PIT7"/>
    <mergeCell ref="PHQ7:PHS7"/>
    <mergeCell ref="PHT7:PHV7"/>
    <mergeCell ref="PHW7:PHY7"/>
    <mergeCell ref="PHZ7:PIB7"/>
    <mergeCell ref="PIC7:PIE7"/>
    <mergeCell ref="PHB7:PHD7"/>
    <mergeCell ref="PHE7:PHG7"/>
    <mergeCell ref="PHH7:PHJ7"/>
    <mergeCell ref="PHK7:PHM7"/>
    <mergeCell ref="PHN7:PHP7"/>
    <mergeCell ref="PGM7:PGO7"/>
    <mergeCell ref="PGP7:PGR7"/>
    <mergeCell ref="PGS7:PGU7"/>
    <mergeCell ref="PGV7:PGX7"/>
    <mergeCell ref="PGY7:PHA7"/>
    <mergeCell ref="PFX7:PFZ7"/>
    <mergeCell ref="PGA7:PGC7"/>
    <mergeCell ref="PGD7:PGF7"/>
    <mergeCell ref="PGG7:PGI7"/>
    <mergeCell ref="PGJ7:PGL7"/>
    <mergeCell ref="PFI7:PFK7"/>
    <mergeCell ref="PFL7:PFN7"/>
    <mergeCell ref="PFO7:PFQ7"/>
    <mergeCell ref="PFR7:PFT7"/>
    <mergeCell ref="PFU7:PFW7"/>
    <mergeCell ref="PET7:PEV7"/>
    <mergeCell ref="PEW7:PEY7"/>
    <mergeCell ref="PEZ7:PFB7"/>
    <mergeCell ref="PFC7:PFE7"/>
    <mergeCell ref="PFF7:PFH7"/>
    <mergeCell ref="PEE7:PEG7"/>
    <mergeCell ref="PEH7:PEJ7"/>
    <mergeCell ref="PEK7:PEM7"/>
    <mergeCell ref="PEN7:PEP7"/>
    <mergeCell ref="PEQ7:PES7"/>
    <mergeCell ref="PDP7:PDR7"/>
    <mergeCell ref="PDS7:PDU7"/>
    <mergeCell ref="PDV7:PDX7"/>
    <mergeCell ref="PDY7:PEA7"/>
    <mergeCell ref="PEB7:PED7"/>
    <mergeCell ref="PDA7:PDC7"/>
    <mergeCell ref="PDD7:PDF7"/>
    <mergeCell ref="PDG7:PDI7"/>
    <mergeCell ref="PDJ7:PDL7"/>
    <mergeCell ref="PDM7:PDO7"/>
    <mergeCell ref="PCL7:PCN7"/>
    <mergeCell ref="PCO7:PCQ7"/>
    <mergeCell ref="PCR7:PCT7"/>
    <mergeCell ref="PCU7:PCW7"/>
    <mergeCell ref="PCX7:PCZ7"/>
    <mergeCell ref="PBW7:PBY7"/>
    <mergeCell ref="PBZ7:PCB7"/>
    <mergeCell ref="PCC7:PCE7"/>
    <mergeCell ref="PCF7:PCH7"/>
    <mergeCell ref="PCI7:PCK7"/>
    <mergeCell ref="PBH7:PBJ7"/>
    <mergeCell ref="PBK7:PBM7"/>
    <mergeCell ref="PBN7:PBP7"/>
    <mergeCell ref="PBQ7:PBS7"/>
    <mergeCell ref="PBT7:PBV7"/>
    <mergeCell ref="PAS7:PAU7"/>
    <mergeCell ref="PAV7:PAX7"/>
    <mergeCell ref="PAY7:PBA7"/>
    <mergeCell ref="PBB7:PBD7"/>
    <mergeCell ref="PBE7:PBG7"/>
    <mergeCell ref="PAD7:PAF7"/>
    <mergeCell ref="PAG7:PAI7"/>
    <mergeCell ref="PAJ7:PAL7"/>
    <mergeCell ref="PAM7:PAO7"/>
    <mergeCell ref="PAP7:PAR7"/>
    <mergeCell ref="OZO7:OZQ7"/>
    <mergeCell ref="OZR7:OZT7"/>
    <mergeCell ref="OZU7:OZW7"/>
    <mergeCell ref="OZX7:OZZ7"/>
    <mergeCell ref="PAA7:PAC7"/>
    <mergeCell ref="OYZ7:OZB7"/>
    <mergeCell ref="OZC7:OZE7"/>
    <mergeCell ref="OZF7:OZH7"/>
    <mergeCell ref="OZI7:OZK7"/>
    <mergeCell ref="OZL7:OZN7"/>
    <mergeCell ref="OYK7:OYM7"/>
    <mergeCell ref="OYN7:OYP7"/>
    <mergeCell ref="OYQ7:OYS7"/>
    <mergeCell ref="OYT7:OYV7"/>
    <mergeCell ref="OYW7:OYY7"/>
    <mergeCell ref="OXV7:OXX7"/>
    <mergeCell ref="OXY7:OYA7"/>
    <mergeCell ref="OYB7:OYD7"/>
    <mergeCell ref="OYE7:OYG7"/>
    <mergeCell ref="OYH7:OYJ7"/>
    <mergeCell ref="OXG7:OXI7"/>
    <mergeCell ref="OXJ7:OXL7"/>
    <mergeCell ref="OXM7:OXO7"/>
    <mergeCell ref="OXP7:OXR7"/>
    <mergeCell ref="OXS7:OXU7"/>
    <mergeCell ref="OWR7:OWT7"/>
    <mergeCell ref="OWU7:OWW7"/>
    <mergeCell ref="OWX7:OWZ7"/>
    <mergeCell ref="OXA7:OXC7"/>
    <mergeCell ref="OXD7:OXF7"/>
    <mergeCell ref="OWC7:OWE7"/>
    <mergeCell ref="OWF7:OWH7"/>
    <mergeCell ref="OWI7:OWK7"/>
    <mergeCell ref="OWL7:OWN7"/>
    <mergeCell ref="OWO7:OWQ7"/>
    <mergeCell ref="OVN7:OVP7"/>
    <mergeCell ref="OVQ7:OVS7"/>
    <mergeCell ref="OVT7:OVV7"/>
    <mergeCell ref="OVW7:OVY7"/>
    <mergeCell ref="OVZ7:OWB7"/>
    <mergeCell ref="OUY7:OVA7"/>
    <mergeCell ref="OVB7:OVD7"/>
    <mergeCell ref="OVE7:OVG7"/>
    <mergeCell ref="OVH7:OVJ7"/>
    <mergeCell ref="OVK7:OVM7"/>
    <mergeCell ref="OUJ7:OUL7"/>
    <mergeCell ref="OUM7:OUO7"/>
    <mergeCell ref="OUP7:OUR7"/>
    <mergeCell ref="OUS7:OUU7"/>
    <mergeCell ref="OUV7:OUX7"/>
    <mergeCell ref="OTU7:OTW7"/>
    <mergeCell ref="OTX7:OTZ7"/>
    <mergeCell ref="OUA7:OUC7"/>
    <mergeCell ref="OUD7:OUF7"/>
    <mergeCell ref="OUG7:OUI7"/>
    <mergeCell ref="OTF7:OTH7"/>
    <mergeCell ref="OTI7:OTK7"/>
    <mergeCell ref="OTL7:OTN7"/>
    <mergeCell ref="OTO7:OTQ7"/>
    <mergeCell ref="OTR7:OTT7"/>
    <mergeCell ref="OSQ7:OSS7"/>
    <mergeCell ref="OST7:OSV7"/>
    <mergeCell ref="OSW7:OSY7"/>
    <mergeCell ref="OSZ7:OTB7"/>
    <mergeCell ref="OTC7:OTE7"/>
    <mergeCell ref="OSB7:OSD7"/>
    <mergeCell ref="OSE7:OSG7"/>
    <mergeCell ref="OSH7:OSJ7"/>
    <mergeCell ref="OSK7:OSM7"/>
    <mergeCell ref="OSN7:OSP7"/>
    <mergeCell ref="ORM7:ORO7"/>
    <mergeCell ref="ORP7:ORR7"/>
    <mergeCell ref="ORS7:ORU7"/>
    <mergeCell ref="ORV7:ORX7"/>
    <mergeCell ref="ORY7:OSA7"/>
    <mergeCell ref="OQX7:OQZ7"/>
    <mergeCell ref="ORA7:ORC7"/>
    <mergeCell ref="ORD7:ORF7"/>
    <mergeCell ref="ORG7:ORI7"/>
    <mergeCell ref="ORJ7:ORL7"/>
    <mergeCell ref="OQI7:OQK7"/>
    <mergeCell ref="OQL7:OQN7"/>
    <mergeCell ref="OQO7:OQQ7"/>
    <mergeCell ref="OQR7:OQT7"/>
    <mergeCell ref="OQU7:OQW7"/>
    <mergeCell ref="OPT7:OPV7"/>
    <mergeCell ref="OPW7:OPY7"/>
    <mergeCell ref="OPZ7:OQB7"/>
    <mergeCell ref="OQC7:OQE7"/>
    <mergeCell ref="OQF7:OQH7"/>
    <mergeCell ref="OPE7:OPG7"/>
    <mergeCell ref="OPH7:OPJ7"/>
    <mergeCell ref="OPK7:OPM7"/>
    <mergeCell ref="OPN7:OPP7"/>
    <mergeCell ref="OPQ7:OPS7"/>
    <mergeCell ref="OOP7:OOR7"/>
    <mergeCell ref="OOS7:OOU7"/>
    <mergeCell ref="OOV7:OOX7"/>
    <mergeCell ref="OOY7:OPA7"/>
    <mergeCell ref="OPB7:OPD7"/>
    <mergeCell ref="OOA7:OOC7"/>
    <mergeCell ref="OOD7:OOF7"/>
    <mergeCell ref="OOG7:OOI7"/>
    <mergeCell ref="OOJ7:OOL7"/>
    <mergeCell ref="OOM7:OOO7"/>
    <mergeCell ref="ONL7:ONN7"/>
    <mergeCell ref="ONO7:ONQ7"/>
    <mergeCell ref="ONR7:ONT7"/>
    <mergeCell ref="ONU7:ONW7"/>
    <mergeCell ref="ONX7:ONZ7"/>
    <mergeCell ref="OMW7:OMY7"/>
    <mergeCell ref="OMZ7:ONB7"/>
    <mergeCell ref="ONC7:ONE7"/>
    <mergeCell ref="ONF7:ONH7"/>
    <mergeCell ref="ONI7:ONK7"/>
    <mergeCell ref="OMH7:OMJ7"/>
    <mergeCell ref="OMK7:OMM7"/>
    <mergeCell ref="OMN7:OMP7"/>
    <mergeCell ref="OMQ7:OMS7"/>
    <mergeCell ref="OMT7:OMV7"/>
    <mergeCell ref="OLS7:OLU7"/>
    <mergeCell ref="OLV7:OLX7"/>
    <mergeCell ref="OLY7:OMA7"/>
    <mergeCell ref="OMB7:OMD7"/>
    <mergeCell ref="OME7:OMG7"/>
    <mergeCell ref="OLD7:OLF7"/>
    <mergeCell ref="OLG7:OLI7"/>
    <mergeCell ref="OLJ7:OLL7"/>
    <mergeCell ref="OLM7:OLO7"/>
    <mergeCell ref="OLP7:OLR7"/>
    <mergeCell ref="OKO7:OKQ7"/>
    <mergeCell ref="OKR7:OKT7"/>
    <mergeCell ref="OKU7:OKW7"/>
    <mergeCell ref="OKX7:OKZ7"/>
    <mergeCell ref="OLA7:OLC7"/>
    <mergeCell ref="OJZ7:OKB7"/>
    <mergeCell ref="OKC7:OKE7"/>
    <mergeCell ref="OKF7:OKH7"/>
    <mergeCell ref="OKI7:OKK7"/>
    <mergeCell ref="OKL7:OKN7"/>
    <mergeCell ref="OJK7:OJM7"/>
    <mergeCell ref="OJN7:OJP7"/>
    <mergeCell ref="OJQ7:OJS7"/>
    <mergeCell ref="OJT7:OJV7"/>
    <mergeCell ref="OJW7:OJY7"/>
    <mergeCell ref="OIV7:OIX7"/>
    <mergeCell ref="OIY7:OJA7"/>
    <mergeCell ref="OJB7:OJD7"/>
    <mergeCell ref="OJE7:OJG7"/>
    <mergeCell ref="OJH7:OJJ7"/>
    <mergeCell ref="OIG7:OII7"/>
    <mergeCell ref="OIJ7:OIL7"/>
    <mergeCell ref="OIM7:OIO7"/>
    <mergeCell ref="OIP7:OIR7"/>
    <mergeCell ref="OIS7:OIU7"/>
    <mergeCell ref="OHR7:OHT7"/>
    <mergeCell ref="OHU7:OHW7"/>
    <mergeCell ref="OHX7:OHZ7"/>
    <mergeCell ref="OIA7:OIC7"/>
    <mergeCell ref="OID7:OIF7"/>
    <mergeCell ref="OHC7:OHE7"/>
    <mergeCell ref="OHF7:OHH7"/>
    <mergeCell ref="OHI7:OHK7"/>
    <mergeCell ref="OHL7:OHN7"/>
    <mergeCell ref="OHO7:OHQ7"/>
    <mergeCell ref="OGN7:OGP7"/>
    <mergeCell ref="OGQ7:OGS7"/>
    <mergeCell ref="OGT7:OGV7"/>
    <mergeCell ref="OGW7:OGY7"/>
    <mergeCell ref="OGZ7:OHB7"/>
    <mergeCell ref="OFY7:OGA7"/>
    <mergeCell ref="OGB7:OGD7"/>
    <mergeCell ref="OGE7:OGG7"/>
    <mergeCell ref="OGH7:OGJ7"/>
    <mergeCell ref="OGK7:OGM7"/>
    <mergeCell ref="OFJ7:OFL7"/>
    <mergeCell ref="OFM7:OFO7"/>
    <mergeCell ref="OFP7:OFR7"/>
    <mergeCell ref="OFS7:OFU7"/>
    <mergeCell ref="OFV7:OFX7"/>
    <mergeCell ref="OEU7:OEW7"/>
    <mergeCell ref="OEX7:OEZ7"/>
    <mergeCell ref="OFA7:OFC7"/>
    <mergeCell ref="OFD7:OFF7"/>
    <mergeCell ref="OFG7:OFI7"/>
    <mergeCell ref="OEF7:OEH7"/>
    <mergeCell ref="OEI7:OEK7"/>
    <mergeCell ref="OEL7:OEN7"/>
    <mergeCell ref="OEO7:OEQ7"/>
    <mergeCell ref="OER7:OET7"/>
    <mergeCell ref="ODQ7:ODS7"/>
    <mergeCell ref="ODT7:ODV7"/>
    <mergeCell ref="ODW7:ODY7"/>
    <mergeCell ref="ODZ7:OEB7"/>
    <mergeCell ref="OEC7:OEE7"/>
    <mergeCell ref="ODB7:ODD7"/>
    <mergeCell ref="ODE7:ODG7"/>
    <mergeCell ref="ODH7:ODJ7"/>
    <mergeCell ref="ODK7:ODM7"/>
    <mergeCell ref="ODN7:ODP7"/>
    <mergeCell ref="OCM7:OCO7"/>
    <mergeCell ref="OCP7:OCR7"/>
    <mergeCell ref="OCS7:OCU7"/>
    <mergeCell ref="OCV7:OCX7"/>
    <mergeCell ref="OCY7:ODA7"/>
    <mergeCell ref="OBX7:OBZ7"/>
    <mergeCell ref="OCA7:OCC7"/>
    <mergeCell ref="OCD7:OCF7"/>
    <mergeCell ref="OCG7:OCI7"/>
    <mergeCell ref="OCJ7:OCL7"/>
    <mergeCell ref="OBI7:OBK7"/>
    <mergeCell ref="OBL7:OBN7"/>
    <mergeCell ref="OBO7:OBQ7"/>
    <mergeCell ref="OBR7:OBT7"/>
    <mergeCell ref="OBU7:OBW7"/>
    <mergeCell ref="OAT7:OAV7"/>
    <mergeCell ref="OAW7:OAY7"/>
    <mergeCell ref="OAZ7:OBB7"/>
    <mergeCell ref="OBC7:OBE7"/>
    <mergeCell ref="OBF7:OBH7"/>
    <mergeCell ref="OAE7:OAG7"/>
    <mergeCell ref="OAH7:OAJ7"/>
    <mergeCell ref="OAK7:OAM7"/>
    <mergeCell ref="OAN7:OAP7"/>
    <mergeCell ref="OAQ7:OAS7"/>
    <mergeCell ref="NZP7:NZR7"/>
    <mergeCell ref="NZS7:NZU7"/>
    <mergeCell ref="NZV7:NZX7"/>
    <mergeCell ref="NZY7:OAA7"/>
    <mergeCell ref="OAB7:OAD7"/>
    <mergeCell ref="NZA7:NZC7"/>
    <mergeCell ref="NZD7:NZF7"/>
    <mergeCell ref="NZG7:NZI7"/>
    <mergeCell ref="NZJ7:NZL7"/>
    <mergeCell ref="NZM7:NZO7"/>
    <mergeCell ref="NYL7:NYN7"/>
    <mergeCell ref="NYO7:NYQ7"/>
    <mergeCell ref="NYR7:NYT7"/>
    <mergeCell ref="NYU7:NYW7"/>
    <mergeCell ref="NYX7:NYZ7"/>
    <mergeCell ref="NXW7:NXY7"/>
    <mergeCell ref="NXZ7:NYB7"/>
    <mergeCell ref="NYC7:NYE7"/>
    <mergeCell ref="NYF7:NYH7"/>
    <mergeCell ref="NYI7:NYK7"/>
    <mergeCell ref="NXH7:NXJ7"/>
    <mergeCell ref="NXK7:NXM7"/>
    <mergeCell ref="NXN7:NXP7"/>
    <mergeCell ref="NXQ7:NXS7"/>
    <mergeCell ref="NXT7:NXV7"/>
    <mergeCell ref="NWS7:NWU7"/>
    <mergeCell ref="NWV7:NWX7"/>
    <mergeCell ref="NWY7:NXA7"/>
    <mergeCell ref="NXB7:NXD7"/>
    <mergeCell ref="NXE7:NXG7"/>
    <mergeCell ref="NWD7:NWF7"/>
    <mergeCell ref="NWG7:NWI7"/>
    <mergeCell ref="NWJ7:NWL7"/>
    <mergeCell ref="NWM7:NWO7"/>
    <mergeCell ref="NWP7:NWR7"/>
    <mergeCell ref="NVO7:NVQ7"/>
    <mergeCell ref="NVR7:NVT7"/>
    <mergeCell ref="NVU7:NVW7"/>
    <mergeCell ref="NVX7:NVZ7"/>
    <mergeCell ref="NWA7:NWC7"/>
    <mergeCell ref="NUZ7:NVB7"/>
    <mergeCell ref="NVC7:NVE7"/>
    <mergeCell ref="NVF7:NVH7"/>
    <mergeCell ref="NVI7:NVK7"/>
    <mergeCell ref="NVL7:NVN7"/>
    <mergeCell ref="NUK7:NUM7"/>
    <mergeCell ref="NUN7:NUP7"/>
    <mergeCell ref="NUQ7:NUS7"/>
    <mergeCell ref="NUT7:NUV7"/>
    <mergeCell ref="NUW7:NUY7"/>
    <mergeCell ref="NTV7:NTX7"/>
    <mergeCell ref="NTY7:NUA7"/>
    <mergeCell ref="NUB7:NUD7"/>
    <mergeCell ref="NUE7:NUG7"/>
    <mergeCell ref="NUH7:NUJ7"/>
    <mergeCell ref="NTG7:NTI7"/>
    <mergeCell ref="NTJ7:NTL7"/>
    <mergeCell ref="NTM7:NTO7"/>
    <mergeCell ref="NTP7:NTR7"/>
    <mergeCell ref="NTS7:NTU7"/>
    <mergeCell ref="NSR7:NST7"/>
    <mergeCell ref="NSU7:NSW7"/>
    <mergeCell ref="NSX7:NSZ7"/>
    <mergeCell ref="NTA7:NTC7"/>
    <mergeCell ref="NTD7:NTF7"/>
    <mergeCell ref="NSC7:NSE7"/>
    <mergeCell ref="NSF7:NSH7"/>
    <mergeCell ref="NSI7:NSK7"/>
    <mergeCell ref="NSL7:NSN7"/>
    <mergeCell ref="NSO7:NSQ7"/>
    <mergeCell ref="NRN7:NRP7"/>
    <mergeCell ref="NRQ7:NRS7"/>
    <mergeCell ref="NRT7:NRV7"/>
    <mergeCell ref="NRW7:NRY7"/>
    <mergeCell ref="NRZ7:NSB7"/>
    <mergeCell ref="NQY7:NRA7"/>
    <mergeCell ref="NRB7:NRD7"/>
    <mergeCell ref="NRE7:NRG7"/>
    <mergeCell ref="NRH7:NRJ7"/>
    <mergeCell ref="NRK7:NRM7"/>
    <mergeCell ref="NQJ7:NQL7"/>
    <mergeCell ref="NQM7:NQO7"/>
    <mergeCell ref="NQP7:NQR7"/>
    <mergeCell ref="NQS7:NQU7"/>
    <mergeCell ref="NQV7:NQX7"/>
    <mergeCell ref="NPU7:NPW7"/>
    <mergeCell ref="NPX7:NPZ7"/>
    <mergeCell ref="NQA7:NQC7"/>
    <mergeCell ref="NQD7:NQF7"/>
    <mergeCell ref="NQG7:NQI7"/>
    <mergeCell ref="NPF7:NPH7"/>
    <mergeCell ref="NPI7:NPK7"/>
    <mergeCell ref="NPL7:NPN7"/>
    <mergeCell ref="NPO7:NPQ7"/>
    <mergeCell ref="NPR7:NPT7"/>
    <mergeCell ref="NOQ7:NOS7"/>
    <mergeCell ref="NOT7:NOV7"/>
    <mergeCell ref="NOW7:NOY7"/>
    <mergeCell ref="NOZ7:NPB7"/>
    <mergeCell ref="NPC7:NPE7"/>
    <mergeCell ref="NOB7:NOD7"/>
    <mergeCell ref="NOE7:NOG7"/>
    <mergeCell ref="NOH7:NOJ7"/>
    <mergeCell ref="NOK7:NOM7"/>
    <mergeCell ref="NON7:NOP7"/>
    <mergeCell ref="NNM7:NNO7"/>
    <mergeCell ref="NNP7:NNR7"/>
    <mergeCell ref="NNS7:NNU7"/>
    <mergeCell ref="NNV7:NNX7"/>
    <mergeCell ref="NNY7:NOA7"/>
    <mergeCell ref="NMX7:NMZ7"/>
    <mergeCell ref="NNA7:NNC7"/>
    <mergeCell ref="NND7:NNF7"/>
    <mergeCell ref="NNG7:NNI7"/>
    <mergeCell ref="NNJ7:NNL7"/>
    <mergeCell ref="NMI7:NMK7"/>
    <mergeCell ref="NML7:NMN7"/>
    <mergeCell ref="NMO7:NMQ7"/>
    <mergeCell ref="NMR7:NMT7"/>
    <mergeCell ref="NMU7:NMW7"/>
    <mergeCell ref="NLT7:NLV7"/>
    <mergeCell ref="NLW7:NLY7"/>
    <mergeCell ref="NLZ7:NMB7"/>
    <mergeCell ref="NMC7:NME7"/>
    <mergeCell ref="NMF7:NMH7"/>
    <mergeCell ref="NLE7:NLG7"/>
    <mergeCell ref="NLH7:NLJ7"/>
    <mergeCell ref="NLK7:NLM7"/>
    <mergeCell ref="NLN7:NLP7"/>
    <mergeCell ref="NLQ7:NLS7"/>
    <mergeCell ref="NKP7:NKR7"/>
    <mergeCell ref="NKS7:NKU7"/>
    <mergeCell ref="NKV7:NKX7"/>
    <mergeCell ref="NKY7:NLA7"/>
    <mergeCell ref="NLB7:NLD7"/>
    <mergeCell ref="NKA7:NKC7"/>
    <mergeCell ref="NKD7:NKF7"/>
    <mergeCell ref="NKG7:NKI7"/>
    <mergeCell ref="NKJ7:NKL7"/>
    <mergeCell ref="NKM7:NKO7"/>
    <mergeCell ref="NJL7:NJN7"/>
    <mergeCell ref="NJO7:NJQ7"/>
    <mergeCell ref="NJR7:NJT7"/>
    <mergeCell ref="NJU7:NJW7"/>
    <mergeCell ref="NJX7:NJZ7"/>
    <mergeCell ref="NIW7:NIY7"/>
    <mergeCell ref="NIZ7:NJB7"/>
    <mergeCell ref="NJC7:NJE7"/>
    <mergeCell ref="NJF7:NJH7"/>
    <mergeCell ref="NJI7:NJK7"/>
    <mergeCell ref="NIH7:NIJ7"/>
    <mergeCell ref="NIK7:NIM7"/>
    <mergeCell ref="NIN7:NIP7"/>
    <mergeCell ref="NIQ7:NIS7"/>
    <mergeCell ref="NIT7:NIV7"/>
    <mergeCell ref="NHS7:NHU7"/>
    <mergeCell ref="NHV7:NHX7"/>
    <mergeCell ref="NHY7:NIA7"/>
    <mergeCell ref="NIB7:NID7"/>
    <mergeCell ref="NIE7:NIG7"/>
    <mergeCell ref="NHD7:NHF7"/>
    <mergeCell ref="NHG7:NHI7"/>
    <mergeCell ref="NHJ7:NHL7"/>
    <mergeCell ref="NHM7:NHO7"/>
    <mergeCell ref="NHP7:NHR7"/>
    <mergeCell ref="NGO7:NGQ7"/>
    <mergeCell ref="NGR7:NGT7"/>
    <mergeCell ref="NGU7:NGW7"/>
    <mergeCell ref="NGX7:NGZ7"/>
    <mergeCell ref="NHA7:NHC7"/>
    <mergeCell ref="NFZ7:NGB7"/>
    <mergeCell ref="NGC7:NGE7"/>
    <mergeCell ref="NGF7:NGH7"/>
    <mergeCell ref="NGI7:NGK7"/>
    <mergeCell ref="NGL7:NGN7"/>
    <mergeCell ref="NFK7:NFM7"/>
    <mergeCell ref="NFN7:NFP7"/>
    <mergeCell ref="NFQ7:NFS7"/>
    <mergeCell ref="NFT7:NFV7"/>
    <mergeCell ref="NFW7:NFY7"/>
    <mergeCell ref="NEV7:NEX7"/>
    <mergeCell ref="NEY7:NFA7"/>
    <mergeCell ref="NFB7:NFD7"/>
    <mergeCell ref="NFE7:NFG7"/>
    <mergeCell ref="NFH7:NFJ7"/>
    <mergeCell ref="NEG7:NEI7"/>
    <mergeCell ref="NEJ7:NEL7"/>
    <mergeCell ref="NEM7:NEO7"/>
    <mergeCell ref="NEP7:NER7"/>
    <mergeCell ref="NES7:NEU7"/>
    <mergeCell ref="NDR7:NDT7"/>
    <mergeCell ref="NDU7:NDW7"/>
    <mergeCell ref="NDX7:NDZ7"/>
    <mergeCell ref="NEA7:NEC7"/>
    <mergeCell ref="NED7:NEF7"/>
    <mergeCell ref="NDC7:NDE7"/>
    <mergeCell ref="NDF7:NDH7"/>
    <mergeCell ref="NDI7:NDK7"/>
    <mergeCell ref="NDL7:NDN7"/>
    <mergeCell ref="NDO7:NDQ7"/>
    <mergeCell ref="NCN7:NCP7"/>
    <mergeCell ref="NCQ7:NCS7"/>
    <mergeCell ref="NCT7:NCV7"/>
    <mergeCell ref="NCW7:NCY7"/>
    <mergeCell ref="NCZ7:NDB7"/>
    <mergeCell ref="NBY7:NCA7"/>
    <mergeCell ref="NCB7:NCD7"/>
    <mergeCell ref="NCE7:NCG7"/>
    <mergeCell ref="NCH7:NCJ7"/>
    <mergeCell ref="NCK7:NCM7"/>
    <mergeCell ref="NBJ7:NBL7"/>
    <mergeCell ref="NBM7:NBO7"/>
    <mergeCell ref="NBP7:NBR7"/>
    <mergeCell ref="NBS7:NBU7"/>
    <mergeCell ref="NBV7:NBX7"/>
    <mergeCell ref="NAU7:NAW7"/>
    <mergeCell ref="NAX7:NAZ7"/>
    <mergeCell ref="NBA7:NBC7"/>
    <mergeCell ref="NBD7:NBF7"/>
    <mergeCell ref="NBG7:NBI7"/>
    <mergeCell ref="NAF7:NAH7"/>
    <mergeCell ref="NAI7:NAK7"/>
    <mergeCell ref="NAL7:NAN7"/>
    <mergeCell ref="NAO7:NAQ7"/>
    <mergeCell ref="NAR7:NAT7"/>
    <mergeCell ref="MZQ7:MZS7"/>
    <mergeCell ref="MZT7:MZV7"/>
    <mergeCell ref="MZW7:MZY7"/>
    <mergeCell ref="MZZ7:NAB7"/>
    <mergeCell ref="NAC7:NAE7"/>
    <mergeCell ref="MZB7:MZD7"/>
    <mergeCell ref="MZE7:MZG7"/>
    <mergeCell ref="MZH7:MZJ7"/>
    <mergeCell ref="MZK7:MZM7"/>
    <mergeCell ref="MZN7:MZP7"/>
    <mergeCell ref="MYM7:MYO7"/>
    <mergeCell ref="MYP7:MYR7"/>
    <mergeCell ref="MYS7:MYU7"/>
    <mergeCell ref="MYV7:MYX7"/>
    <mergeCell ref="MYY7:MZA7"/>
    <mergeCell ref="MXX7:MXZ7"/>
    <mergeCell ref="MYA7:MYC7"/>
    <mergeCell ref="MYD7:MYF7"/>
    <mergeCell ref="MYG7:MYI7"/>
    <mergeCell ref="MYJ7:MYL7"/>
    <mergeCell ref="MXI7:MXK7"/>
    <mergeCell ref="MXL7:MXN7"/>
    <mergeCell ref="MXO7:MXQ7"/>
    <mergeCell ref="MXR7:MXT7"/>
    <mergeCell ref="MXU7:MXW7"/>
    <mergeCell ref="MWT7:MWV7"/>
    <mergeCell ref="MWW7:MWY7"/>
    <mergeCell ref="MWZ7:MXB7"/>
    <mergeCell ref="MXC7:MXE7"/>
    <mergeCell ref="MXF7:MXH7"/>
    <mergeCell ref="MWE7:MWG7"/>
    <mergeCell ref="MWH7:MWJ7"/>
    <mergeCell ref="MWK7:MWM7"/>
    <mergeCell ref="MWN7:MWP7"/>
    <mergeCell ref="MWQ7:MWS7"/>
    <mergeCell ref="MVP7:MVR7"/>
    <mergeCell ref="MVS7:MVU7"/>
    <mergeCell ref="MVV7:MVX7"/>
    <mergeCell ref="MVY7:MWA7"/>
    <mergeCell ref="MWB7:MWD7"/>
    <mergeCell ref="MVA7:MVC7"/>
    <mergeCell ref="MVD7:MVF7"/>
    <mergeCell ref="MVG7:MVI7"/>
    <mergeCell ref="MVJ7:MVL7"/>
    <mergeCell ref="MVM7:MVO7"/>
    <mergeCell ref="MUL7:MUN7"/>
    <mergeCell ref="MUO7:MUQ7"/>
    <mergeCell ref="MUR7:MUT7"/>
    <mergeCell ref="MUU7:MUW7"/>
    <mergeCell ref="MUX7:MUZ7"/>
    <mergeCell ref="MTW7:MTY7"/>
    <mergeCell ref="MTZ7:MUB7"/>
    <mergeCell ref="MUC7:MUE7"/>
    <mergeCell ref="MUF7:MUH7"/>
    <mergeCell ref="MUI7:MUK7"/>
    <mergeCell ref="MTH7:MTJ7"/>
    <mergeCell ref="MTK7:MTM7"/>
    <mergeCell ref="MTN7:MTP7"/>
    <mergeCell ref="MTQ7:MTS7"/>
    <mergeCell ref="MTT7:MTV7"/>
    <mergeCell ref="MSS7:MSU7"/>
    <mergeCell ref="MSV7:MSX7"/>
    <mergeCell ref="MSY7:MTA7"/>
    <mergeCell ref="MTB7:MTD7"/>
    <mergeCell ref="MTE7:MTG7"/>
    <mergeCell ref="MSD7:MSF7"/>
    <mergeCell ref="MSG7:MSI7"/>
    <mergeCell ref="MSJ7:MSL7"/>
    <mergeCell ref="MSM7:MSO7"/>
    <mergeCell ref="MSP7:MSR7"/>
    <mergeCell ref="MRO7:MRQ7"/>
    <mergeCell ref="MRR7:MRT7"/>
    <mergeCell ref="MRU7:MRW7"/>
    <mergeCell ref="MRX7:MRZ7"/>
    <mergeCell ref="MSA7:MSC7"/>
    <mergeCell ref="MQZ7:MRB7"/>
    <mergeCell ref="MRC7:MRE7"/>
    <mergeCell ref="MRF7:MRH7"/>
    <mergeCell ref="MRI7:MRK7"/>
    <mergeCell ref="MRL7:MRN7"/>
    <mergeCell ref="MQK7:MQM7"/>
    <mergeCell ref="MQN7:MQP7"/>
    <mergeCell ref="MQQ7:MQS7"/>
    <mergeCell ref="MQT7:MQV7"/>
    <mergeCell ref="MQW7:MQY7"/>
    <mergeCell ref="MPV7:MPX7"/>
    <mergeCell ref="MPY7:MQA7"/>
    <mergeCell ref="MQB7:MQD7"/>
    <mergeCell ref="MQE7:MQG7"/>
    <mergeCell ref="MQH7:MQJ7"/>
    <mergeCell ref="MPG7:MPI7"/>
    <mergeCell ref="MPJ7:MPL7"/>
    <mergeCell ref="MPM7:MPO7"/>
    <mergeCell ref="MPP7:MPR7"/>
    <mergeCell ref="MPS7:MPU7"/>
    <mergeCell ref="MOR7:MOT7"/>
    <mergeCell ref="MOU7:MOW7"/>
    <mergeCell ref="MOX7:MOZ7"/>
    <mergeCell ref="MPA7:MPC7"/>
    <mergeCell ref="MPD7:MPF7"/>
    <mergeCell ref="MOC7:MOE7"/>
    <mergeCell ref="MOF7:MOH7"/>
    <mergeCell ref="MOI7:MOK7"/>
    <mergeCell ref="MOL7:MON7"/>
    <mergeCell ref="MOO7:MOQ7"/>
    <mergeCell ref="MNN7:MNP7"/>
    <mergeCell ref="MNQ7:MNS7"/>
    <mergeCell ref="MNT7:MNV7"/>
    <mergeCell ref="MNW7:MNY7"/>
    <mergeCell ref="MNZ7:MOB7"/>
    <mergeCell ref="MMY7:MNA7"/>
    <mergeCell ref="MNB7:MND7"/>
    <mergeCell ref="MNE7:MNG7"/>
    <mergeCell ref="MNH7:MNJ7"/>
    <mergeCell ref="MNK7:MNM7"/>
    <mergeCell ref="MMJ7:MML7"/>
    <mergeCell ref="MMM7:MMO7"/>
    <mergeCell ref="MMP7:MMR7"/>
    <mergeCell ref="MMS7:MMU7"/>
    <mergeCell ref="MMV7:MMX7"/>
    <mergeCell ref="MLU7:MLW7"/>
    <mergeCell ref="MLX7:MLZ7"/>
    <mergeCell ref="MMA7:MMC7"/>
    <mergeCell ref="MMD7:MMF7"/>
    <mergeCell ref="MMG7:MMI7"/>
    <mergeCell ref="MLF7:MLH7"/>
    <mergeCell ref="MLI7:MLK7"/>
    <mergeCell ref="MLL7:MLN7"/>
    <mergeCell ref="MLO7:MLQ7"/>
    <mergeCell ref="MLR7:MLT7"/>
    <mergeCell ref="MKQ7:MKS7"/>
    <mergeCell ref="MKT7:MKV7"/>
    <mergeCell ref="MKW7:MKY7"/>
    <mergeCell ref="MKZ7:MLB7"/>
    <mergeCell ref="MLC7:MLE7"/>
    <mergeCell ref="MKB7:MKD7"/>
    <mergeCell ref="MKE7:MKG7"/>
    <mergeCell ref="MKH7:MKJ7"/>
    <mergeCell ref="MKK7:MKM7"/>
    <mergeCell ref="MKN7:MKP7"/>
    <mergeCell ref="MJM7:MJO7"/>
    <mergeCell ref="MJP7:MJR7"/>
    <mergeCell ref="MJS7:MJU7"/>
    <mergeCell ref="MJV7:MJX7"/>
    <mergeCell ref="MJY7:MKA7"/>
    <mergeCell ref="MIX7:MIZ7"/>
    <mergeCell ref="MJA7:MJC7"/>
    <mergeCell ref="MJD7:MJF7"/>
    <mergeCell ref="MJG7:MJI7"/>
    <mergeCell ref="MJJ7:MJL7"/>
    <mergeCell ref="MII7:MIK7"/>
    <mergeCell ref="MIL7:MIN7"/>
    <mergeCell ref="MIO7:MIQ7"/>
    <mergeCell ref="MIR7:MIT7"/>
    <mergeCell ref="MIU7:MIW7"/>
    <mergeCell ref="MHT7:MHV7"/>
    <mergeCell ref="MHW7:MHY7"/>
    <mergeCell ref="MHZ7:MIB7"/>
    <mergeCell ref="MIC7:MIE7"/>
    <mergeCell ref="MIF7:MIH7"/>
    <mergeCell ref="MHE7:MHG7"/>
    <mergeCell ref="MHH7:MHJ7"/>
    <mergeCell ref="MHK7:MHM7"/>
    <mergeCell ref="MHN7:MHP7"/>
    <mergeCell ref="MHQ7:MHS7"/>
    <mergeCell ref="MGP7:MGR7"/>
    <mergeCell ref="MGS7:MGU7"/>
    <mergeCell ref="MGV7:MGX7"/>
    <mergeCell ref="MGY7:MHA7"/>
    <mergeCell ref="MHB7:MHD7"/>
    <mergeCell ref="MGA7:MGC7"/>
    <mergeCell ref="MGD7:MGF7"/>
    <mergeCell ref="MGG7:MGI7"/>
    <mergeCell ref="MGJ7:MGL7"/>
    <mergeCell ref="MGM7:MGO7"/>
    <mergeCell ref="MFL7:MFN7"/>
    <mergeCell ref="MFO7:MFQ7"/>
    <mergeCell ref="MFR7:MFT7"/>
    <mergeCell ref="MFU7:MFW7"/>
    <mergeCell ref="MFX7:MFZ7"/>
    <mergeCell ref="MEW7:MEY7"/>
    <mergeCell ref="MEZ7:MFB7"/>
    <mergeCell ref="MFC7:MFE7"/>
    <mergeCell ref="MFF7:MFH7"/>
    <mergeCell ref="MFI7:MFK7"/>
    <mergeCell ref="MEH7:MEJ7"/>
    <mergeCell ref="MEK7:MEM7"/>
    <mergeCell ref="MEN7:MEP7"/>
    <mergeCell ref="MEQ7:MES7"/>
    <mergeCell ref="MET7:MEV7"/>
    <mergeCell ref="MDS7:MDU7"/>
    <mergeCell ref="MDV7:MDX7"/>
    <mergeCell ref="MDY7:MEA7"/>
    <mergeCell ref="MEB7:MED7"/>
    <mergeCell ref="MEE7:MEG7"/>
    <mergeCell ref="MDD7:MDF7"/>
    <mergeCell ref="MDG7:MDI7"/>
    <mergeCell ref="MDJ7:MDL7"/>
    <mergeCell ref="MDM7:MDO7"/>
    <mergeCell ref="MDP7:MDR7"/>
    <mergeCell ref="MCO7:MCQ7"/>
    <mergeCell ref="MCR7:MCT7"/>
    <mergeCell ref="MCU7:MCW7"/>
    <mergeCell ref="MCX7:MCZ7"/>
    <mergeCell ref="MDA7:MDC7"/>
    <mergeCell ref="MBZ7:MCB7"/>
    <mergeCell ref="MCC7:MCE7"/>
    <mergeCell ref="MCF7:MCH7"/>
    <mergeCell ref="MCI7:MCK7"/>
    <mergeCell ref="MCL7:MCN7"/>
    <mergeCell ref="MBK7:MBM7"/>
    <mergeCell ref="MBN7:MBP7"/>
    <mergeCell ref="MBQ7:MBS7"/>
    <mergeCell ref="MBT7:MBV7"/>
    <mergeCell ref="MBW7:MBY7"/>
    <mergeCell ref="MAV7:MAX7"/>
    <mergeCell ref="MAY7:MBA7"/>
    <mergeCell ref="MBB7:MBD7"/>
    <mergeCell ref="MBE7:MBG7"/>
    <mergeCell ref="MBH7:MBJ7"/>
    <mergeCell ref="MAG7:MAI7"/>
    <mergeCell ref="MAJ7:MAL7"/>
    <mergeCell ref="MAM7:MAO7"/>
    <mergeCell ref="MAP7:MAR7"/>
    <mergeCell ref="MAS7:MAU7"/>
    <mergeCell ref="LZR7:LZT7"/>
    <mergeCell ref="LZU7:LZW7"/>
    <mergeCell ref="LZX7:LZZ7"/>
    <mergeCell ref="MAA7:MAC7"/>
    <mergeCell ref="MAD7:MAF7"/>
    <mergeCell ref="LZC7:LZE7"/>
    <mergeCell ref="LZF7:LZH7"/>
    <mergeCell ref="LZI7:LZK7"/>
    <mergeCell ref="LZL7:LZN7"/>
    <mergeCell ref="LZO7:LZQ7"/>
    <mergeCell ref="LYN7:LYP7"/>
    <mergeCell ref="LYQ7:LYS7"/>
    <mergeCell ref="LYT7:LYV7"/>
    <mergeCell ref="LYW7:LYY7"/>
    <mergeCell ref="LYZ7:LZB7"/>
    <mergeCell ref="LXY7:LYA7"/>
    <mergeCell ref="LYB7:LYD7"/>
    <mergeCell ref="LYE7:LYG7"/>
    <mergeCell ref="LYH7:LYJ7"/>
    <mergeCell ref="LYK7:LYM7"/>
    <mergeCell ref="LXJ7:LXL7"/>
    <mergeCell ref="LXM7:LXO7"/>
    <mergeCell ref="LXP7:LXR7"/>
    <mergeCell ref="LXS7:LXU7"/>
    <mergeCell ref="LXV7:LXX7"/>
    <mergeCell ref="LWU7:LWW7"/>
    <mergeCell ref="LWX7:LWZ7"/>
    <mergeCell ref="LXA7:LXC7"/>
    <mergeCell ref="LXD7:LXF7"/>
    <mergeCell ref="LXG7:LXI7"/>
    <mergeCell ref="LWF7:LWH7"/>
    <mergeCell ref="LWI7:LWK7"/>
    <mergeCell ref="LWL7:LWN7"/>
    <mergeCell ref="LWO7:LWQ7"/>
    <mergeCell ref="LWR7:LWT7"/>
    <mergeCell ref="LVQ7:LVS7"/>
    <mergeCell ref="LVT7:LVV7"/>
    <mergeCell ref="LVW7:LVY7"/>
    <mergeCell ref="LVZ7:LWB7"/>
    <mergeCell ref="LWC7:LWE7"/>
    <mergeCell ref="LVB7:LVD7"/>
    <mergeCell ref="LVE7:LVG7"/>
    <mergeCell ref="LVH7:LVJ7"/>
    <mergeCell ref="LVK7:LVM7"/>
    <mergeCell ref="LVN7:LVP7"/>
    <mergeCell ref="LUM7:LUO7"/>
    <mergeCell ref="LUP7:LUR7"/>
    <mergeCell ref="LUS7:LUU7"/>
    <mergeCell ref="LUV7:LUX7"/>
    <mergeCell ref="LUY7:LVA7"/>
    <mergeCell ref="LTX7:LTZ7"/>
    <mergeCell ref="LUA7:LUC7"/>
    <mergeCell ref="LUD7:LUF7"/>
    <mergeCell ref="LUG7:LUI7"/>
    <mergeCell ref="LUJ7:LUL7"/>
    <mergeCell ref="LTI7:LTK7"/>
    <mergeCell ref="LTL7:LTN7"/>
    <mergeCell ref="LTO7:LTQ7"/>
    <mergeCell ref="LTR7:LTT7"/>
    <mergeCell ref="LTU7:LTW7"/>
    <mergeCell ref="LST7:LSV7"/>
    <mergeCell ref="LSW7:LSY7"/>
    <mergeCell ref="LSZ7:LTB7"/>
    <mergeCell ref="LTC7:LTE7"/>
    <mergeCell ref="LTF7:LTH7"/>
    <mergeCell ref="LSE7:LSG7"/>
    <mergeCell ref="LSH7:LSJ7"/>
    <mergeCell ref="LSK7:LSM7"/>
    <mergeCell ref="LSN7:LSP7"/>
    <mergeCell ref="LSQ7:LSS7"/>
    <mergeCell ref="LRP7:LRR7"/>
    <mergeCell ref="LRS7:LRU7"/>
    <mergeCell ref="LRV7:LRX7"/>
    <mergeCell ref="LRY7:LSA7"/>
    <mergeCell ref="LSB7:LSD7"/>
    <mergeCell ref="LRA7:LRC7"/>
    <mergeCell ref="LRD7:LRF7"/>
    <mergeCell ref="LRG7:LRI7"/>
    <mergeCell ref="LRJ7:LRL7"/>
    <mergeCell ref="LRM7:LRO7"/>
    <mergeCell ref="LQL7:LQN7"/>
    <mergeCell ref="LQO7:LQQ7"/>
    <mergeCell ref="LQR7:LQT7"/>
    <mergeCell ref="LQU7:LQW7"/>
    <mergeCell ref="LQX7:LQZ7"/>
    <mergeCell ref="LPW7:LPY7"/>
    <mergeCell ref="LPZ7:LQB7"/>
    <mergeCell ref="LQC7:LQE7"/>
    <mergeCell ref="LQF7:LQH7"/>
    <mergeCell ref="LQI7:LQK7"/>
    <mergeCell ref="LPH7:LPJ7"/>
    <mergeCell ref="LPK7:LPM7"/>
    <mergeCell ref="LPN7:LPP7"/>
    <mergeCell ref="LPQ7:LPS7"/>
    <mergeCell ref="LPT7:LPV7"/>
    <mergeCell ref="LOS7:LOU7"/>
    <mergeCell ref="LOV7:LOX7"/>
    <mergeCell ref="LOY7:LPA7"/>
    <mergeCell ref="LPB7:LPD7"/>
    <mergeCell ref="LPE7:LPG7"/>
    <mergeCell ref="LOD7:LOF7"/>
    <mergeCell ref="LOG7:LOI7"/>
    <mergeCell ref="LOJ7:LOL7"/>
    <mergeCell ref="LOM7:LOO7"/>
    <mergeCell ref="LOP7:LOR7"/>
    <mergeCell ref="LNO7:LNQ7"/>
    <mergeCell ref="LNR7:LNT7"/>
    <mergeCell ref="LNU7:LNW7"/>
    <mergeCell ref="LNX7:LNZ7"/>
    <mergeCell ref="LOA7:LOC7"/>
    <mergeCell ref="LMZ7:LNB7"/>
    <mergeCell ref="LNC7:LNE7"/>
    <mergeCell ref="LNF7:LNH7"/>
    <mergeCell ref="LNI7:LNK7"/>
    <mergeCell ref="LNL7:LNN7"/>
    <mergeCell ref="LMK7:LMM7"/>
    <mergeCell ref="LMN7:LMP7"/>
    <mergeCell ref="LMQ7:LMS7"/>
    <mergeCell ref="LMT7:LMV7"/>
    <mergeCell ref="LMW7:LMY7"/>
    <mergeCell ref="LLV7:LLX7"/>
    <mergeCell ref="LLY7:LMA7"/>
    <mergeCell ref="LMB7:LMD7"/>
    <mergeCell ref="LME7:LMG7"/>
    <mergeCell ref="LMH7:LMJ7"/>
    <mergeCell ref="LLG7:LLI7"/>
    <mergeCell ref="LLJ7:LLL7"/>
    <mergeCell ref="LLM7:LLO7"/>
    <mergeCell ref="LLP7:LLR7"/>
    <mergeCell ref="LLS7:LLU7"/>
    <mergeCell ref="LKR7:LKT7"/>
    <mergeCell ref="LKU7:LKW7"/>
    <mergeCell ref="LKX7:LKZ7"/>
    <mergeCell ref="LLA7:LLC7"/>
    <mergeCell ref="LLD7:LLF7"/>
    <mergeCell ref="LKC7:LKE7"/>
    <mergeCell ref="LKF7:LKH7"/>
    <mergeCell ref="LKI7:LKK7"/>
    <mergeCell ref="LKL7:LKN7"/>
    <mergeCell ref="LKO7:LKQ7"/>
    <mergeCell ref="LJN7:LJP7"/>
    <mergeCell ref="LJQ7:LJS7"/>
    <mergeCell ref="LJT7:LJV7"/>
    <mergeCell ref="LJW7:LJY7"/>
    <mergeCell ref="LJZ7:LKB7"/>
    <mergeCell ref="LIY7:LJA7"/>
    <mergeCell ref="LJB7:LJD7"/>
    <mergeCell ref="LJE7:LJG7"/>
    <mergeCell ref="LJH7:LJJ7"/>
    <mergeCell ref="LJK7:LJM7"/>
    <mergeCell ref="LIJ7:LIL7"/>
    <mergeCell ref="LIM7:LIO7"/>
    <mergeCell ref="LIP7:LIR7"/>
    <mergeCell ref="LIS7:LIU7"/>
    <mergeCell ref="LIV7:LIX7"/>
    <mergeCell ref="LHU7:LHW7"/>
    <mergeCell ref="LHX7:LHZ7"/>
    <mergeCell ref="LIA7:LIC7"/>
    <mergeCell ref="LID7:LIF7"/>
    <mergeCell ref="LIG7:LII7"/>
    <mergeCell ref="LHF7:LHH7"/>
    <mergeCell ref="LHI7:LHK7"/>
    <mergeCell ref="LHL7:LHN7"/>
    <mergeCell ref="LHO7:LHQ7"/>
    <mergeCell ref="LHR7:LHT7"/>
    <mergeCell ref="LGQ7:LGS7"/>
    <mergeCell ref="LGT7:LGV7"/>
    <mergeCell ref="LGW7:LGY7"/>
    <mergeCell ref="LGZ7:LHB7"/>
    <mergeCell ref="LHC7:LHE7"/>
    <mergeCell ref="LGB7:LGD7"/>
    <mergeCell ref="LGE7:LGG7"/>
    <mergeCell ref="LGH7:LGJ7"/>
    <mergeCell ref="LGK7:LGM7"/>
    <mergeCell ref="LGN7:LGP7"/>
    <mergeCell ref="LFM7:LFO7"/>
    <mergeCell ref="LFP7:LFR7"/>
    <mergeCell ref="LFS7:LFU7"/>
    <mergeCell ref="LFV7:LFX7"/>
    <mergeCell ref="LFY7:LGA7"/>
    <mergeCell ref="LEX7:LEZ7"/>
    <mergeCell ref="LFA7:LFC7"/>
    <mergeCell ref="LFD7:LFF7"/>
    <mergeCell ref="LFG7:LFI7"/>
    <mergeCell ref="LFJ7:LFL7"/>
    <mergeCell ref="LEI7:LEK7"/>
    <mergeCell ref="LEL7:LEN7"/>
    <mergeCell ref="LEO7:LEQ7"/>
    <mergeCell ref="LER7:LET7"/>
    <mergeCell ref="LEU7:LEW7"/>
    <mergeCell ref="LDT7:LDV7"/>
    <mergeCell ref="LDW7:LDY7"/>
    <mergeCell ref="LDZ7:LEB7"/>
    <mergeCell ref="LEC7:LEE7"/>
    <mergeCell ref="LEF7:LEH7"/>
    <mergeCell ref="LDE7:LDG7"/>
    <mergeCell ref="LDH7:LDJ7"/>
    <mergeCell ref="LDK7:LDM7"/>
    <mergeCell ref="LDN7:LDP7"/>
    <mergeCell ref="LDQ7:LDS7"/>
    <mergeCell ref="LCP7:LCR7"/>
    <mergeCell ref="LCS7:LCU7"/>
    <mergeCell ref="LCV7:LCX7"/>
    <mergeCell ref="LCY7:LDA7"/>
    <mergeCell ref="LDB7:LDD7"/>
    <mergeCell ref="LCA7:LCC7"/>
    <mergeCell ref="LCD7:LCF7"/>
    <mergeCell ref="LCG7:LCI7"/>
    <mergeCell ref="LCJ7:LCL7"/>
    <mergeCell ref="LCM7:LCO7"/>
    <mergeCell ref="LBL7:LBN7"/>
    <mergeCell ref="LBO7:LBQ7"/>
    <mergeCell ref="LBR7:LBT7"/>
    <mergeCell ref="LBU7:LBW7"/>
    <mergeCell ref="LBX7:LBZ7"/>
    <mergeCell ref="LAW7:LAY7"/>
    <mergeCell ref="LAZ7:LBB7"/>
    <mergeCell ref="LBC7:LBE7"/>
    <mergeCell ref="LBF7:LBH7"/>
    <mergeCell ref="LBI7:LBK7"/>
    <mergeCell ref="LAH7:LAJ7"/>
    <mergeCell ref="LAK7:LAM7"/>
    <mergeCell ref="LAN7:LAP7"/>
    <mergeCell ref="LAQ7:LAS7"/>
    <mergeCell ref="LAT7:LAV7"/>
    <mergeCell ref="KZS7:KZU7"/>
    <mergeCell ref="KZV7:KZX7"/>
    <mergeCell ref="KZY7:LAA7"/>
    <mergeCell ref="LAB7:LAD7"/>
    <mergeCell ref="LAE7:LAG7"/>
    <mergeCell ref="KZD7:KZF7"/>
    <mergeCell ref="KZG7:KZI7"/>
    <mergeCell ref="KZJ7:KZL7"/>
    <mergeCell ref="KZM7:KZO7"/>
    <mergeCell ref="KZP7:KZR7"/>
    <mergeCell ref="KYO7:KYQ7"/>
    <mergeCell ref="KYR7:KYT7"/>
    <mergeCell ref="KYU7:KYW7"/>
    <mergeCell ref="KYX7:KYZ7"/>
    <mergeCell ref="KZA7:KZC7"/>
    <mergeCell ref="KXZ7:KYB7"/>
    <mergeCell ref="KYC7:KYE7"/>
    <mergeCell ref="KYF7:KYH7"/>
    <mergeCell ref="KYI7:KYK7"/>
    <mergeCell ref="KYL7:KYN7"/>
    <mergeCell ref="KXK7:KXM7"/>
    <mergeCell ref="KXN7:KXP7"/>
    <mergeCell ref="KXQ7:KXS7"/>
    <mergeCell ref="KXT7:KXV7"/>
    <mergeCell ref="KXW7:KXY7"/>
    <mergeCell ref="KWV7:KWX7"/>
    <mergeCell ref="KWY7:KXA7"/>
    <mergeCell ref="KXB7:KXD7"/>
    <mergeCell ref="KXE7:KXG7"/>
    <mergeCell ref="KXH7:KXJ7"/>
    <mergeCell ref="KWG7:KWI7"/>
    <mergeCell ref="KWJ7:KWL7"/>
    <mergeCell ref="KWM7:KWO7"/>
    <mergeCell ref="KWP7:KWR7"/>
    <mergeCell ref="KWS7:KWU7"/>
    <mergeCell ref="KVR7:KVT7"/>
    <mergeCell ref="KVU7:KVW7"/>
    <mergeCell ref="KVX7:KVZ7"/>
    <mergeCell ref="KWA7:KWC7"/>
    <mergeCell ref="KWD7:KWF7"/>
    <mergeCell ref="KVC7:KVE7"/>
    <mergeCell ref="KVF7:KVH7"/>
    <mergeCell ref="KVI7:KVK7"/>
    <mergeCell ref="KVL7:KVN7"/>
    <mergeCell ref="KVO7:KVQ7"/>
    <mergeCell ref="KUN7:KUP7"/>
    <mergeCell ref="KUQ7:KUS7"/>
    <mergeCell ref="KUT7:KUV7"/>
    <mergeCell ref="KUW7:KUY7"/>
    <mergeCell ref="KUZ7:KVB7"/>
    <mergeCell ref="KTY7:KUA7"/>
    <mergeCell ref="KUB7:KUD7"/>
    <mergeCell ref="KUE7:KUG7"/>
    <mergeCell ref="KUH7:KUJ7"/>
    <mergeCell ref="KUK7:KUM7"/>
    <mergeCell ref="KTJ7:KTL7"/>
    <mergeCell ref="KTM7:KTO7"/>
    <mergeCell ref="KTP7:KTR7"/>
    <mergeCell ref="KTS7:KTU7"/>
    <mergeCell ref="KTV7:KTX7"/>
    <mergeCell ref="KSU7:KSW7"/>
    <mergeCell ref="KSX7:KSZ7"/>
    <mergeCell ref="KTA7:KTC7"/>
    <mergeCell ref="KTD7:KTF7"/>
    <mergeCell ref="KTG7:KTI7"/>
    <mergeCell ref="KSF7:KSH7"/>
    <mergeCell ref="KSI7:KSK7"/>
    <mergeCell ref="KSL7:KSN7"/>
    <mergeCell ref="KSO7:KSQ7"/>
    <mergeCell ref="KSR7:KST7"/>
    <mergeCell ref="KRQ7:KRS7"/>
    <mergeCell ref="KRT7:KRV7"/>
    <mergeCell ref="KRW7:KRY7"/>
    <mergeCell ref="KRZ7:KSB7"/>
    <mergeCell ref="KSC7:KSE7"/>
    <mergeCell ref="KRB7:KRD7"/>
    <mergeCell ref="KRE7:KRG7"/>
    <mergeCell ref="KRH7:KRJ7"/>
    <mergeCell ref="KRK7:KRM7"/>
    <mergeCell ref="KRN7:KRP7"/>
    <mergeCell ref="KQM7:KQO7"/>
    <mergeCell ref="KQP7:KQR7"/>
    <mergeCell ref="KQS7:KQU7"/>
    <mergeCell ref="KQV7:KQX7"/>
    <mergeCell ref="KQY7:KRA7"/>
    <mergeCell ref="KPX7:KPZ7"/>
    <mergeCell ref="KQA7:KQC7"/>
    <mergeCell ref="KQD7:KQF7"/>
    <mergeCell ref="KQG7:KQI7"/>
    <mergeCell ref="KQJ7:KQL7"/>
    <mergeCell ref="KPI7:KPK7"/>
    <mergeCell ref="KPL7:KPN7"/>
    <mergeCell ref="KPO7:KPQ7"/>
    <mergeCell ref="KPR7:KPT7"/>
    <mergeCell ref="KPU7:KPW7"/>
    <mergeCell ref="KOT7:KOV7"/>
    <mergeCell ref="KOW7:KOY7"/>
    <mergeCell ref="KOZ7:KPB7"/>
    <mergeCell ref="KPC7:KPE7"/>
    <mergeCell ref="KPF7:KPH7"/>
    <mergeCell ref="KOE7:KOG7"/>
    <mergeCell ref="KOH7:KOJ7"/>
    <mergeCell ref="KOK7:KOM7"/>
    <mergeCell ref="KON7:KOP7"/>
    <mergeCell ref="KOQ7:KOS7"/>
    <mergeCell ref="KNP7:KNR7"/>
    <mergeCell ref="KNS7:KNU7"/>
    <mergeCell ref="KNV7:KNX7"/>
    <mergeCell ref="KNY7:KOA7"/>
    <mergeCell ref="KOB7:KOD7"/>
    <mergeCell ref="KNA7:KNC7"/>
    <mergeCell ref="KND7:KNF7"/>
    <mergeCell ref="KNG7:KNI7"/>
    <mergeCell ref="KNJ7:KNL7"/>
    <mergeCell ref="KNM7:KNO7"/>
    <mergeCell ref="KML7:KMN7"/>
    <mergeCell ref="KMO7:KMQ7"/>
    <mergeCell ref="KMR7:KMT7"/>
    <mergeCell ref="KMU7:KMW7"/>
    <mergeCell ref="KMX7:KMZ7"/>
    <mergeCell ref="KLW7:KLY7"/>
    <mergeCell ref="KLZ7:KMB7"/>
    <mergeCell ref="KMC7:KME7"/>
    <mergeCell ref="KMF7:KMH7"/>
    <mergeCell ref="KMI7:KMK7"/>
    <mergeCell ref="KLH7:KLJ7"/>
    <mergeCell ref="KLK7:KLM7"/>
    <mergeCell ref="KLN7:KLP7"/>
    <mergeCell ref="KLQ7:KLS7"/>
    <mergeCell ref="KLT7:KLV7"/>
    <mergeCell ref="KKS7:KKU7"/>
    <mergeCell ref="KKV7:KKX7"/>
    <mergeCell ref="KKY7:KLA7"/>
    <mergeCell ref="KLB7:KLD7"/>
    <mergeCell ref="KLE7:KLG7"/>
    <mergeCell ref="KKD7:KKF7"/>
    <mergeCell ref="KKG7:KKI7"/>
    <mergeCell ref="KKJ7:KKL7"/>
    <mergeCell ref="KKM7:KKO7"/>
    <mergeCell ref="KKP7:KKR7"/>
    <mergeCell ref="KJO7:KJQ7"/>
    <mergeCell ref="KJR7:KJT7"/>
    <mergeCell ref="KJU7:KJW7"/>
    <mergeCell ref="KJX7:KJZ7"/>
    <mergeCell ref="KKA7:KKC7"/>
    <mergeCell ref="KIZ7:KJB7"/>
    <mergeCell ref="KJC7:KJE7"/>
    <mergeCell ref="KJF7:KJH7"/>
    <mergeCell ref="KJI7:KJK7"/>
    <mergeCell ref="KJL7:KJN7"/>
    <mergeCell ref="KIK7:KIM7"/>
    <mergeCell ref="KIN7:KIP7"/>
    <mergeCell ref="KIQ7:KIS7"/>
    <mergeCell ref="KIT7:KIV7"/>
    <mergeCell ref="KIW7:KIY7"/>
    <mergeCell ref="KHV7:KHX7"/>
    <mergeCell ref="KHY7:KIA7"/>
    <mergeCell ref="KIB7:KID7"/>
    <mergeCell ref="KIE7:KIG7"/>
    <mergeCell ref="KIH7:KIJ7"/>
    <mergeCell ref="KHG7:KHI7"/>
    <mergeCell ref="KHJ7:KHL7"/>
    <mergeCell ref="KHM7:KHO7"/>
    <mergeCell ref="KHP7:KHR7"/>
    <mergeCell ref="KHS7:KHU7"/>
    <mergeCell ref="KGR7:KGT7"/>
    <mergeCell ref="KGU7:KGW7"/>
    <mergeCell ref="KGX7:KGZ7"/>
    <mergeCell ref="KHA7:KHC7"/>
    <mergeCell ref="KHD7:KHF7"/>
    <mergeCell ref="KGC7:KGE7"/>
    <mergeCell ref="KGF7:KGH7"/>
    <mergeCell ref="KGI7:KGK7"/>
    <mergeCell ref="KGL7:KGN7"/>
    <mergeCell ref="KGO7:KGQ7"/>
    <mergeCell ref="KFN7:KFP7"/>
    <mergeCell ref="KFQ7:KFS7"/>
    <mergeCell ref="KFT7:KFV7"/>
    <mergeCell ref="KFW7:KFY7"/>
    <mergeCell ref="KFZ7:KGB7"/>
    <mergeCell ref="KEY7:KFA7"/>
    <mergeCell ref="KFB7:KFD7"/>
    <mergeCell ref="KFE7:KFG7"/>
    <mergeCell ref="KFH7:KFJ7"/>
    <mergeCell ref="KFK7:KFM7"/>
    <mergeCell ref="KEJ7:KEL7"/>
    <mergeCell ref="KEM7:KEO7"/>
    <mergeCell ref="KEP7:KER7"/>
    <mergeCell ref="KES7:KEU7"/>
    <mergeCell ref="KEV7:KEX7"/>
    <mergeCell ref="KDU7:KDW7"/>
    <mergeCell ref="KDX7:KDZ7"/>
    <mergeCell ref="KEA7:KEC7"/>
    <mergeCell ref="KED7:KEF7"/>
    <mergeCell ref="KEG7:KEI7"/>
    <mergeCell ref="KDF7:KDH7"/>
    <mergeCell ref="KDI7:KDK7"/>
    <mergeCell ref="KDL7:KDN7"/>
    <mergeCell ref="KDO7:KDQ7"/>
    <mergeCell ref="KDR7:KDT7"/>
    <mergeCell ref="KCQ7:KCS7"/>
    <mergeCell ref="KCT7:KCV7"/>
    <mergeCell ref="KCW7:KCY7"/>
    <mergeCell ref="KCZ7:KDB7"/>
    <mergeCell ref="KDC7:KDE7"/>
    <mergeCell ref="KCB7:KCD7"/>
    <mergeCell ref="KCE7:KCG7"/>
    <mergeCell ref="KCH7:KCJ7"/>
    <mergeCell ref="KCK7:KCM7"/>
    <mergeCell ref="KCN7:KCP7"/>
    <mergeCell ref="KBM7:KBO7"/>
    <mergeCell ref="KBP7:KBR7"/>
    <mergeCell ref="KBS7:KBU7"/>
    <mergeCell ref="KBV7:KBX7"/>
    <mergeCell ref="KBY7:KCA7"/>
    <mergeCell ref="KAX7:KAZ7"/>
    <mergeCell ref="KBA7:KBC7"/>
    <mergeCell ref="KBD7:KBF7"/>
    <mergeCell ref="KBG7:KBI7"/>
    <mergeCell ref="KBJ7:KBL7"/>
    <mergeCell ref="KAI7:KAK7"/>
    <mergeCell ref="KAL7:KAN7"/>
    <mergeCell ref="KAO7:KAQ7"/>
    <mergeCell ref="KAR7:KAT7"/>
    <mergeCell ref="KAU7:KAW7"/>
    <mergeCell ref="JZT7:JZV7"/>
    <mergeCell ref="JZW7:JZY7"/>
    <mergeCell ref="JZZ7:KAB7"/>
    <mergeCell ref="KAC7:KAE7"/>
    <mergeCell ref="KAF7:KAH7"/>
    <mergeCell ref="JZE7:JZG7"/>
    <mergeCell ref="JZH7:JZJ7"/>
    <mergeCell ref="JZK7:JZM7"/>
    <mergeCell ref="JZN7:JZP7"/>
    <mergeCell ref="JZQ7:JZS7"/>
    <mergeCell ref="JYP7:JYR7"/>
    <mergeCell ref="JYS7:JYU7"/>
    <mergeCell ref="JYV7:JYX7"/>
    <mergeCell ref="JYY7:JZA7"/>
    <mergeCell ref="JZB7:JZD7"/>
    <mergeCell ref="JYA7:JYC7"/>
    <mergeCell ref="JYD7:JYF7"/>
    <mergeCell ref="JYG7:JYI7"/>
    <mergeCell ref="JYJ7:JYL7"/>
    <mergeCell ref="JYM7:JYO7"/>
    <mergeCell ref="JXL7:JXN7"/>
    <mergeCell ref="JXO7:JXQ7"/>
    <mergeCell ref="JXR7:JXT7"/>
    <mergeCell ref="JXU7:JXW7"/>
    <mergeCell ref="JXX7:JXZ7"/>
    <mergeCell ref="JWW7:JWY7"/>
    <mergeCell ref="JWZ7:JXB7"/>
    <mergeCell ref="JXC7:JXE7"/>
    <mergeCell ref="JXF7:JXH7"/>
    <mergeCell ref="JXI7:JXK7"/>
    <mergeCell ref="JWH7:JWJ7"/>
    <mergeCell ref="JWK7:JWM7"/>
    <mergeCell ref="JWN7:JWP7"/>
    <mergeCell ref="JWQ7:JWS7"/>
    <mergeCell ref="JWT7:JWV7"/>
    <mergeCell ref="JVS7:JVU7"/>
    <mergeCell ref="JVV7:JVX7"/>
    <mergeCell ref="JVY7:JWA7"/>
    <mergeCell ref="JWB7:JWD7"/>
    <mergeCell ref="JWE7:JWG7"/>
    <mergeCell ref="JVD7:JVF7"/>
    <mergeCell ref="JVG7:JVI7"/>
    <mergeCell ref="JVJ7:JVL7"/>
    <mergeCell ref="JVM7:JVO7"/>
    <mergeCell ref="JVP7:JVR7"/>
    <mergeCell ref="JUO7:JUQ7"/>
    <mergeCell ref="JUR7:JUT7"/>
    <mergeCell ref="JUU7:JUW7"/>
    <mergeCell ref="JUX7:JUZ7"/>
    <mergeCell ref="JVA7:JVC7"/>
    <mergeCell ref="JTZ7:JUB7"/>
    <mergeCell ref="JUC7:JUE7"/>
    <mergeCell ref="JUF7:JUH7"/>
    <mergeCell ref="JUI7:JUK7"/>
    <mergeCell ref="JUL7:JUN7"/>
    <mergeCell ref="JTK7:JTM7"/>
    <mergeCell ref="JTN7:JTP7"/>
    <mergeCell ref="JTQ7:JTS7"/>
    <mergeCell ref="JTT7:JTV7"/>
    <mergeCell ref="JTW7:JTY7"/>
    <mergeCell ref="JSV7:JSX7"/>
    <mergeCell ref="JSY7:JTA7"/>
    <mergeCell ref="JTB7:JTD7"/>
    <mergeCell ref="JTE7:JTG7"/>
    <mergeCell ref="JTH7:JTJ7"/>
    <mergeCell ref="JSG7:JSI7"/>
    <mergeCell ref="JSJ7:JSL7"/>
    <mergeCell ref="JSM7:JSO7"/>
    <mergeCell ref="JSP7:JSR7"/>
    <mergeCell ref="JSS7:JSU7"/>
    <mergeCell ref="JRR7:JRT7"/>
    <mergeCell ref="JRU7:JRW7"/>
    <mergeCell ref="JRX7:JRZ7"/>
    <mergeCell ref="JSA7:JSC7"/>
    <mergeCell ref="JSD7:JSF7"/>
    <mergeCell ref="JRC7:JRE7"/>
    <mergeCell ref="JRF7:JRH7"/>
    <mergeCell ref="JRI7:JRK7"/>
    <mergeCell ref="JRL7:JRN7"/>
    <mergeCell ref="JRO7:JRQ7"/>
    <mergeCell ref="JQN7:JQP7"/>
    <mergeCell ref="JQQ7:JQS7"/>
    <mergeCell ref="JQT7:JQV7"/>
    <mergeCell ref="JQW7:JQY7"/>
    <mergeCell ref="JQZ7:JRB7"/>
    <mergeCell ref="JPY7:JQA7"/>
    <mergeCell ref="JQB7:JQD7"/>
    <mergeCell ref="JQE7:JQG7"/>
    <mergeCell ref="JQH7:JQJ7"/>
    <mergeCell ref="JQK7:JQM7"/>
    <mergeCell ref="JPJ7:JPL7"/>
    <mergeCell ref="JPM7:JPO7"/>
    <mergeCell ref="JPP7:JPR7"/>
    <mergeCell ref="JPS7:JPU7"/>
    <mergeCell ref="JPV7:JPX7"/>
    <mergeCell ref="JOU7:JOW7"/>
    <mergeCell ref="JOX7:JOZ7"/>
    <mergeCell ref="JPA7:JPC7"/>
    <mergeCell ref="JPD7:JPF7"/>
    <mergeCell ref="JPG7:JPI7"/>
    <mergeCell ref="JOF7:JOH7"/>
    <mergeCell ref="JOI7:JOK7"/>
    <mergeCell ref="JOL7:JON7"/>
    <mergeCell ref="JOO7:JOQ7"/>
    <mergeCell ref="JOR7:JOT7"/>
    <mergeCell ref="JNQ7:JNS7"/>
    <mergeCell ref="JNT7:JNV7"/>
    <mergeCell ref="JNW7:JNY7"/>
    <mergeCell ref="JNZ7:JOB7"/>
    <mergeCell ref="JOC7:JOE7"/>
    <mergeCell ref="JNB7:JND7"/>
    <mergeCell ref="JNE7:JNG7"/>
    <mergeCell ref="JNH7:JNJ7"/>
    <mergeCell ref="JNK7:JNM7"/>
    <mergeCell ref="JNN7:JNP7"/>
    <mergeCell ref="JMM7:JMO7"/>
    <mergeCell ref="JMP7:JMR7"/>
    <mergeCell ref="JMS7:JMU7"/>
    <mergeCell ref="JMV7:JMX7"/>
    <mergeCell ref="JMY7:JNA7"/>
    <mergeCell ref="JLX7:JLZ7"/>
    <mergeCell ref="JMA7:JMC7"/>
    <mergeCell ref="JMD7:JMF7"/>
    <mergeCell ref="JMG7:JMI7"/>
    <mergeCell ref="JMJ7:JML7"/>
    <mergeCell ref="JLI7:JLK7"/>
    <mergeCell ref="JLL7:JLN7"/>
    <mergeCell ref="JLO7:JLQ7"/>
    <mergeCell ref="JLR7:JLT7"/>
    <mergeCell ref="JLU7:JLW7"/>
    <mergeCell ref="JKT7:JKV7"/>
    <mergeCell ref="JKW7:JKY7"/>
    <mergeCell ref="JKZ7:JLB7"/>
    <mergeCell ref="JLC7:JLE7"/>
    <mergeCell ref="JLF7:JLH7"/>
    <mergeCell ref="JKE7:JKG7"/>
    <mergeCell ref="JKH7:JKJ7"/>
    <mergeCell ref="JKK7:JKM7"/>
    <mergeCell ref="JKN7:JKP7"/>
    <mergeCell ref="JKQ7:JKS7"/>
    <mergeCell ref="JJP7:JJR7"/>
    <mergeCell ref="JJS7:JJU7"/>
    <mergeCell ref="JJV7:JJX7"/>
    <mergeCell ref="JJY7:JKA7"/>
    <mergeCell ref="JKB7:JKD7"/>
    <mergeCell ref="JJA7:JJC7"/>
    <mergeCell ref="JJD7:JJF7"/>
    <mergeCell ref="JJG7:JJI7"/>
    <mergeCell ref="JJJ7:JJL7"/>
    <mergeCell ref="JJM7:JJO7"/>
    <mergeCell ref="JIL7:JIN7"/>
    <mergeCell ref="JIO7:JIQ7"/>
    <mergeCell ref="JIR7:JIT7"/>
    <mergeCell ref="JIU7:JIW7"/>
    <mergeCell ref="JIX7:JIZ7"/>
    <mergeCell ref="JHW7:JHY7"/>
    <mergeCell ref="JHZ7:JIB7"/>
    <mergeCell ref="JIC7:JIE7"/>
    <mergeCell ref="JIF7:JIH7"/>
    <mergeCell ref="JII7:JIK7"/>
    <mergeCell ref="JHH7:JHJ7"/>
    <mergeCell ref="JHK7:JHM7"/>
    <mergeCell ref="JHN7:JHP7"/>
    <mergeCell ref="JHQ7:JHS7"/>
    <mergeCell ref="JHT7:JHV7"/>
    <mergeCell ref="JGS7:JGU7"/>
    <mergeCell ref="JGV7:JGX7"/>
    <mergeCell ref="JGY7:JHA7"/>
    <mergeCell ref="JHB7:JHD7"/>
    <mergeCell ref="JHE7:JHG7"/>
    <mergeCell ref="JGD7:JGF7"/>
    <mergeCell ref="JGG7:JGI7"/>
    <mergeCell ref="JGJ7:JGL7"/>
    <mergeCell ref="JGM7:JGO7"/>
    <mergeCell ref="JGP7:JGR7"/>
    <mergeCell ref="JFO7:JFQ7"/>
    <mergeCell ref="JFR7:JFT7"/>
    <mergeCell ref="JFU7:JFW7"/>
    <mergeCell ref="JFX7:JFZ7"/>
    <mergeCell ref="JGA7:JGC7"/>
    <mergeCell ref="JEZ7:JFB7"/>
    <mergeCell ref="JFC7:JFE7"/>
    <mergeCell ref="JFF7:JFH7"/>
    <mergeCell ref="JFI7:JFK7"/>
    <mergeCell ref="JFL7:JFN7"/>
    <mergeCell ref="JEK7:JEM7"/>
    <mergeCell ref="JEN7:JEP7"/>
    <mergeCell ref="JEQ7:JES7"/>
    <mergeCell ref="JET7:JEV7"/>
    <mergeCell ref="JEW7:JEY7"/>
    <mergeCell ref="JDV7:JDX7"/>
    <mergeCell ref="JDY7:JEA7"/>
    <mergeCell ref="JEB7:JED7"/>
    <mergeCell ref="JEE7:JEG7"/>
    <mergeCell ref="JEH7:JEJ7"/>
    <mergeCell ref="JDG7:JDI7"/>
    <mergeCell ref="JDJ7:JDL7"/>
    <mergeCell ref="JDM7:JDO7"/>
    <mergeCell ref="JDP7:JDR7"/>
    <mergeCell ref="JDS7:JDU7"/>
    <mergeCell ref="JCR7:JCT7"/>
    <mergeCell ref="JCU7:JCW7"/>
    <mergeCell ref="JCX7:JCZ7"/>
    <mergeCell ref="JDA7:JDC7"/>
    <mergeCell ref="JDD7:JDF7"/>
    <mergeCell ref="JCC7:JCE7"/>
    <mergeCell ref="JCF7:JCH7"/>
    <mergeCell ref="JCI7:JCK7"/>
    <mergeCell ref="JCL7:JCN7"/>
    <mergeCell ref="JCO7:JCQ7"/>
    <mergeCell ref="JBN7:JBP7"/>
    <mergeCell ref="JBQ7:JBS7"/>
    <mergeCell ref="JBT7:JBV7"/>
    <mergeCell ref="JBW7:JBY7"/>
    <mergeCell ref="JBZ7:JCB7"/>
    <mergeCell ref="JAY7:JBA7"/>
    <mergeCell ref="JBB7:JBD7"/>
    <mergeCell ref="JBE7:JBG7"/>
    <mergeCell ref="JBH7:JBJ7"/>
    <mergeCell ref="JBK7:JBM7"/>
    <mergeCell ref="JAJ7:JAL7"/>
    <mergeCell ref="JAM7:JAO7"/>
    <mergeCell ref="JAP7:JAR7"/>
    <mergeCell ref="JAS7:JAU7"/>
    <mergeCell ref="JAV7:JAX7"/>
    <mergeCell ref="IZU7:IZW7"/>
    <mergeCell ref="IZX7:IZZ7"/>
    <mergeCell ref="JAA7:JAC7"/>
    <mergeCell ref="JAD7:JAF7"/>
    <mergeCell ref="JAG7:JAI7"/>
    <mergeCell ref="IZF7:IZH7"/>
    <mergeCell ref="IZI7:IZK7"/>
    <mergeCell ref="IZL7:IZN7"/>
    <mergeCell ref="IZO7:IZQ7"/>
    <mergeCell ref="IZR7:IZT7"/>
    <mergeCell ref="IYQ7:IYS7"/>
    <mergeCell ref="IYT7:IYV7"/>
    <mergeCell ref="IYW7:IYY7"/>
    <mergeCell ref="IYZ7:IZB7"/>
    <mergeCell ref="IZC7:IZE7"/>
    <mergeCell ref="IYB7:IYD7"/>
    <mergeCell ref="IYE7:IYG7"/>
    <mergeCell ref="IYH7:IYJ7"/>
    <mergeCell ref="IYK7:IYM7"/>
    <mergeCell ref="IYN7:IYP7"/>
    <mergeCell ref="IXM7:IXO7"/>
    <mergeCell ref="IXP7:IXR7"/>
    <mergeCell ref="IXS7:IXU7"/>
    <mergeCell ref="IXV7:IXX7"/>
    <mergeCell ref="IXY7:IYA7"/>
    <mergeCell ref="IWX7:IWZ7"/>
    <mergeCell ref="IXA7:IXC7"/>
    <mergeCell ref="IXD7:IXF7"/>
    <mergeCell ref="IXG7:IXI7"/>
    <mergeCell ref="IXJ7:IXL7"/>
    <mergeCell ref="IWI7:IWK7"/>
    <mergeCell ref="IWL7:IWN7"/>
    <mergeCell ref="IWO7:IWQ7"/>
    <mergeCell ref="IWR7:IWT7"/>
    <mergeCell ref="IWU7:IWW7"/>
    <mergeCell ref="IVT7:IVV7"/>
    <mergeCell ref="IVW7:IVY7"/>
    <mergeCell ref="IVZ7:IWB7"/>
    <mergeCell ref="IWC7:IWE7"/>
    <mergeCell ref="IWF7:IWH7"/>
    <mergeCell ref="IVE7:IVG7"/>
    <mergeCell ref="IVH7:IVJ7"/>
    <mergeCell ref="IVK7:IVM7"/>
    <mergeCell ref="IVN7:IVP7"/>
    <mergeCell ref="IVQ7:IVS7"/>
    <mergeCell ref="IUP7:IUR7"/>
    <mergeCell ref="IUS7:IUU7"/>
    <mergeCell ref="IUV7:IUX7"/>
    <mergeCell ref="IUY7:IVA7"/>
    <mergeCell ref="IVB7:IVD7"/>
    <mergeCell ref="IUA7:IUC7"/>
    <mergeCell ref="IUD7:IUF7"/>
    <mergeCell ref="IUG7:IUI7"/>
    <mergeCell ref="IUJ7:IUL7"/>
    <mergeCell ref="IUM7:IUO7"/>
    <mergeCell ref="ITL7:ITN7"/>
    <mergeCell ref="ITO7:ITQ7"/>
    <mergeCell ref="ITR7:ITT7"/>
    <mergeCell ref="ITU7:ITW7"/>
    <mergeCell ref="ITX7:ITZ7"/>
    <mergeCell ref="ISW7:ISY7"/>
    <mergeCell ref="ISZ7:ITB7"/>
    <mergeCell ref="ITC7:ITE7"/>
    <mergeCell ref="ITF7:ITH7"/>
    <mergeCell ref="ITI7:ITK7"/>
    <mergeCell ref="ISH7:ISJ7"/>
    <mergeCell ref="ISK7:ISM7"/>
    <mergeCell ref="ISN7:ISP7"/>
    <mergeCell ref="ISQ7:ISS7"/>
    <mergeCell ref="IST7:ISV7"/>
    <mergeCell ref="IRS7:IRU7"/>
    <mergeCell ref="IRV7:IRX7"/>
    <mergeCell ref="IRY7:ISA7"/>
    <mergeCell ref="ISB7:ISD7"/>
    <mergeCell ref="ISE7:ISG7"/>
    <mergeCell ref="IRD7:IRF7"/>
    <mergeCell ref="IRG7:IRI7"/>
    <mergeCell ref="IRJ7:IRL7"/>
    <mergeCell ref="IRM7:IRO7"/>
    <mergeCell ref="IRP7:IRR7"/>
    <mergeCell ref="IQO7:IQQ7"/>
    <mergeCell ref="IQR7:IQT7"/>
    <mergeCell ref="IQU7:IQW7"/>
    <mergeCell ref="IQX7:IQZ7"/>
    <mergeCell ref="IRA7:IRC7"/>
    <mergeCell ref="IPZ7:IQB7"/>
    <mergeCell ref="IQC7:IQE7"/>
    <mergeCell ref="IQF7:IQH7"/>
    <mergeCell ref="IQI7:IQK7"/>
    <mergeCell ref="IQL7:IQN7"/>
    <mergeCell ref="IPK7:IPM7"/>
    <mergeCell ref="IPN7:IPP7"/>
    <mergeCell ref="IPQ7:IPS7"/>
    <mergeCell ref="IPT7:IPV7"/>
    <mergeCell ref="IPW7:IPY7"/>
    <mergeCell ref="IOV7:IOX7"/>
    <mergeCell ref="IOY7:IPA7"/>
    <mergeCell ref="IPB7:IPD7"/>
    <mergeCell ref="IPE7:IPG7"/>
    <mergeCell ref="IPH7:IPJ7"/>
    <mergeCell ref="IOG7:IOI7"/>
    <mergeCell ref="IOJ7:IOL7"/>
    <mergeCell ref="IOM7:IOO7"/>
    <mergeCell ref="IOP7:IOR7"/>
    <mergeCell ref="IOS7:IOU7"/>
    <mergeCell ref="INR7:INT7"/>
    <mergeCell ref="INU7:INW7"/>
    <mergeCell ref="INX7:INZ7"/>
    <mergeCell ref="IOA7:IOC7"/>
    <mergeCell ref="IOD7:IOF7"/>
    <mergeCell ref="INC7:INE7"/>
    <mergeCell ref="INF7:INH7"/>
    <mergeCell ref="INI7:INK7"/>
    <mergeCell ref="INL7:INN7"/>
    <mergeCell ref="INO7:INQ7"/>
    <mergeCell ref="IMN7:IMP7"/>
    <mergeCell ref="IMQ7:IMS7"/>
    <mergeCell ref="IMT7:IMV7"/>
    <mergeCell ref="IMW7:IMY7"/>
    <mergeCell ref="IMZ7:INB7"/>
    <mergeCell ref="ILY7:IMA7"/>
    <mergeCell ref="IMB7:IMD7"/>
    <mergeCell ref="IME7:IMG7"/>
    <mergeCell ref="IMH7:IMJ7"/>
    <mergeCell ref="IMK7:IMM7"/>
    <mergeCell ref="ILJ7:ILL7"/>
    <mergeCell ref="ILM7:ILO7"/>
    <mergeCell ref="ILP7:ILR7"/>
    <mergeCell ref="ILS7:ILU7"/>
    <mergeCell ref="ILV7:ILX7"/>
    <mergeCell ref="IKU7:IKW7"/>
    <mergeCell ref="IKX7:IKZ7"/>
    <mergeCell ref="ILA7:ILC7"/>
    <mergeCell ref="ILD7:ILF7"/>
    <mergeCell ref="ILG7:ILI7"/>
    <mergeCell ref="IKF7:IKH7"/>
    <mergeCell ref="IKI7:IKK7"/>
    <mergeCell ref="IKL7:IKN7"/>
    <mergeCell ref="IKO7:IKQ7"/>
    <mergeCell ref="IKR7:IKT7"/>
    <mergeCell ref="IJQ7:IJS7"/>
    <mergeCell ref="IJT7:IJV7"/>
    <mergeCell ref="IJW7:IJY7"/>
    <mergeCell ref="IJZ7:IKB7"/>
    <mergeCell ref="IKC7:IKE7"/>
    <mergeCell ref="IJB7:IJD7"/>
    <mergeCell ref="IJE7:IJG7"/>
    <mergeCell ref="IJH7:IJJ7"/>
    <mergeCell ref="IJK7:IJM7"/>
    <mergeCell ref="IJN7:IJP7"/>
    <mergeCell ref="IIM7:IIO7"/>
    <mergeCell ref="IIP7:IIR7"/>
    <mergeCell ref="IIS7:IIU7"/>
    <mergeCell ref="IIV7:IIX7"/>
    <mergeCell ref="IIY7:IJA7"/>
    <mergeCell ref="IHX7:IHZ7"/>
    <mergeCell ref="IIA7:IIC7"/>
    <mergeCell ref="IID7:IIF7"/>
    <mergeCell ref="IIG7:III7"/>
    <mergeCell ref="IIJ7:IIL7"/>
    <mergeCell ref="IHI7:IHK7"/>
    <mergeCell ref="IHL7:IHN7"/>
    <mergeCell ref="IHO7:IHQ7"/>
    <mergeCell ref="IHR7:IHT7"/>
    <mergeCell ref="IHU7:IHW7"/>
    <mergeCell ref="IGT7:IGV7"/>
    <mergeCell ref="IGW7:IGY7"/>
    <mergeCell ref="IGZ7:IHB7"/>
    <mergeCell ref="IHC7:IHE7"/>
    <mergeCell ref="IHF7:IHH7"/>
    <mergeCell ref="IGE7:IGG7"/>
    <mergeCell ref="IGH7:IGJ7"/>
    <mergeCell ref="IGK7:IGM7"/>
    <mergeCell ref="IGN7:IGP7"/>
    <mergeCell ref="IGQ7:IGS7"/>
    <mergeCell ref="IFP7:IFR7"/>
    <mergeCell ref="IFS7:IFU7"/>
    <mergeCell ref="IFV7:IFX7"/>
    <mergeCell ref="IFY7:IGA7"/>
    <mergeCell ref="IGB7:IGD7"/>
    <mergeCell ref="IFA7:IFC7"/>
    <mergeCell ref="IFD7:IFF7"/>
    <mergeCell ref="IFG7:IFI7"/>
    <mergeCell ref="IFJ7:IFL7"/>
    <mergeCell ref="IFM7:IFO7"/>
    <mergeCell ref="IEL7:IEN7"/>
    <mergeCell ref="IEO7:IEQ7"/>
    <mergeCell ref="IER7:IET7"/>
    <mergeCell ref="IEU7:IEW7"/>
    <mergeCell ref="IEX7:IEZ7"/>
    <mergeCell ref="IDW7:IDY7"/>
    <mergeCell ref="IDZ7:IEB7"/>
    <mergeCell ref="IEC7:IEE7"/>
    <mergeCell ref="IEF7:IEH7"/>
    <mergeCell ref="IEI7:IEK7"/>
    <mergeCell ref="IDH7:IDJ7"/>
    <mergeCell ref="IDK7:IDM7"/>
    <mergeCell ref="IDN7:IDP7"/>
    <mergeCell ref="IDQ7:IDS7"/>
    <mergeCell ref="IDT7:IDV7"/>
    <mergeCell ref="ICS7:ICU7"/>
    <mergeCell ref="ICV7:ICX7"/>
    <mergeCell ref="ICY7:IDA7"/>
    <mergeCell ref="IDB7:IDD7"/>
    <mergeCell ref="IDE7:IDG7"/>
    <mergeCell ref="ICD7:ICF7"/>
    <mergeCell ref="ICG7:ICI7"/>
    <mergeCell ref="ICJ7:ICL7"/>
    <mergeCell ref="ICM7:ICO7"/>
    <mergeCell ref="ICP7:ICR7"/>
    <mergeCell ref="IBO7:IBQ7"/>
    <mergeCell ref="IBR7:IBT7"/>
    <mergeCell ref="IBU7:IBW7"/>
    <mergeCell ref="IBX7:IBZ7"/>
    <mergeCell ref="ICA7:ICC7"/>
    <mergeCell ref="IAZ7:IBB7"/>
    <mergeCell ref="IBC7:IBE7"/>
    <mergeCell ref="IBF7:IBH7"/>
    <mergeCell ref="IBI7:IBK7"/>
    <mergeCell ref="IBL7:IBN7"/>
    <mergeCell ref="IAK7:IAM7"/>
    <mergeCell ref="IAN7:IAP7"/>
    <mergeCell ref="IAQ7:IAS7"/>
    <mergeCell ref="IAT7:IAV7"/>
    <mergeCell ref="IAW7:IAY7"/>
    <mergeCell ref="HZV7:HZX7"/>
    <mergeCell ref="HZY7:IAA7"/>
    <mergeCell ref="IAB7:IAD7"/>
    <mergeCell ref="IAE7:IAG7"/>
    <mergeCell ref="IAH7:IAJ7"/>
    <mergeCell ref="HZG7:HZI7"/>
    <mergeCell ref="HZJ7:HZL7"/>
    <mergeCell ref="HZM7:HZO7"/>
    <mergeCell ref="HZP7:HZR7"/>
    <mergeCell ref="HZS7:HZU7"/>
    <mergeCell ref="HYR7:HYT7"/>
    <mergeCell ref="HYU7:HYW7"/>
    <mergeCell ref="HYX7:HYZ7"/>
    <mergeCell ref="HZA7:HZC7"/>
    <mergeCell ref="HZD7:HZF7"/>
    <mergeCell ref="HYC7:HYE7"/>
    <mergeCell ref="HYF7:HYH7"/>
    <mergeCell ref="HYI7:HYK7"/>
    <mergeCell ref="HYL7:HYN7"/>
    <mergeCell ref="HYO7:HYQ7"/>
    <mergeCell ref="HXN7:HXP7"/>
    <mergeCell ref="HXQ7:HXS7"/>
    <mergeCell ref="HXT7:HXV7"/>
    <mergeCell ref="HXW7:HXY7"/>
    <mergeCell ref="HXZ7:HYB7"/>
    <mergeCell ref="HWY7:HXA7"/>
    <mergeCell ref="HXB7:HXD7"/>
    <mergeCell ref="HXE7:HXG7"/>
    <mergeCell ref="HXH7:HXJ7"/>
    <mergeCell ref="HXK7:HXM7"/>
    <mergeCell ref="HWJ7:HWL7"/>
    <mergeCell ref="HWM7:HWO7"/>
    <mergeCell ref="HWP7:HWR7"/>
    <mergeCell ref="HWS7:HWU7"/>
    <mergeCell ref="HWV7:HWX7"/>
    <mergeCell ref="HVU7:HVW7"/>
    <mergeCell ref="HVX7:HVZ7"/>
    <mergeCell ref="HWA7:HWC7"/>
    <mergeCell ref="HWD7:HWF7"/>
    <mergeCell ref="HWG7:HWI7"/>
    <mergeCell ref="HVF7:HVH7"/>
    <mergeCell ref="HVI7:HVK7"/>
    <mergeCell ref="HVL7:HVN7"/>
    <mergeCell ref="HVO7:HVQ7"/>
    <mergeCell ref="HVR7:HVT7"/>
    <mergeCell ref="HUQ7:HUS7"/>
    <mergeCell ref="HUT7:HUV7"/>
    <mergeCell ref="HUW7:HUY7"/>
    <mergeCell ref="HUZ7:HVB7"/>
    <mergeCell ref="HVC7:HVE7"/>
    <mergeCell ref="HUB7:HUD7"/>
    <mergeCell ref="HUE7:HUG7"/>
    <mergeCell ref="HUH7:HUJ7"/>
    <mergeCell ref="HUK7:HUM7"/>
    <mergeCell ref="HUN7:HUP7"/>
    <mergeCell ref="HTM7:HTO7"/>
    <mergeCell ref="HTP7:HTR7"/>
    <mergeCell ref="HTS7:HTU7"/>
    <mergeCell ref="HTV7:HTX7"/>
    <mergeCell ref="HTY7:HUA7"/>
    <mergeCell ref="HSX7:HSZ7"/>
    <mergeCell ref="HTA7:HTC7"/>
    <mergeCell ref="HTD7:HTF7"/>
    <mergeCell ref="HTG7:HTI7"/>
    <mergeCell ref="HTJ7:HTL7"/>
    <mergeCell ref="HSI7:HSK7"/>
    <mergeCell ref="HSL7:HSN7"/>
    <mergeCell ref="HSO7:HSQ7"/>
    <mergeCell ref="HSR7:HST7"/>
    <mergeCell ref="HSU7:HSW7"/>
    <mergeCell ref="HRT7:HRV7"/>
    <mergeCell ref="HRW7:HRY7"/>
    <mergeCell ref="HRZ7:HSB7"/>
    <mergeCell ref="HSC7:HSE7"/>
    <mergeCell ref="HSF7:HSH7"/>
    <mergeCell ref="HRE7:HRG7"/>
    <mergeCell ref="HRH7:HRJ7"/>
    <mergeCell ref="HRK7:HRM7"/>
    <mergeCell ref="HRN7:HRP7"/>
    <mergeCell ref="HRQ7:HRS7"/>
    <mergeCell ref="HQP7:HQR7"/>
    <mergeCell ref="HQS7:HQU7"/>
    <mergeCell ref="HQV7:HQX7"/>
    <mergeCell ref="HQY7:HRA7"/>
    <mergeCell ref="HRB7:HRD7"/>
    <mergeCell ref="HQA7:HQC7"/>
    <mergeCell ref="HQD7:HQF7"/>
    <mergeCell ref="HQG7:HQI7"/>
    <mergeCell ref="HQJ7:HQL7"/>
    <mergeCell ref="HQM7:HQO7"/>
    <mergeCell ref="HPL7:HPN7"/>
    <mergeCell ref="HPO7:HPQ7"/>
    <mergeCell ref="HPR7:HPT7"/>
    <mergeCell ref="HPU7:HPW7"/>
    <mergeCell ref="HPX7:HPZ7"/>
    <mergeCell ref="HOW7:HOY7"/>
    <mergeCell ref="HOZ7:HPB7"/>
    <mergeCell ref="HPC7:HPE7"/>
    <mergeCell ref="HPF7:HPH7"/>
    <mergeCell ref="HPI7:HPK7"/>
    <mergeCell ref="HOH7:HOJ7"/>
    <mergeCell ref="HOK7:HOM7"/>
    <mergeCell ref="HON7:HOP7"/>
    <mergeCell ref="HOQ7:HOS7"/>
    <mergeCell ref="HOT7:HOV7"/>
    <mergeCell ref="HNS7:HNU7"/>
    <mergeCell ref="HNV7:HNX7"/>
    <mergeCell ref="HNY7:HOA7"/>
    <mergeCell ref="HOB7:HOD7"/>
    <mergeCell ref="HOE7:HOG7"/>
    <mergeCell ref="HND7:HNF7"/>
    <mergeCell ref="HNG7:HNI7"/>
    <mergeCell ref="HNJ7:HNL7"/>
    <mergeCell ref="HNM7:HNO7"/>
    <mergeCell ref="HNP7:HNR7"/>
    <mergeCell ref="HMO7:HMQ7"/>
    <mergeCell ref="HMR7:HMT7"/>
    <mergeCell ref="HMU7:HMW7"/>
    <mergeCell ref="HMX7:HMZ7"/>
    <mergeCell ref="HNA7:HNC7"/>
    <mergeCell ref="HLZ7:HMB7"/>
    <mergeCell ref="HMC7:HME7"/>
    <mergeCell ref="HMF7:HMH7"/>
    <mergeCell ref="HMI7:HMK7"/>
    <mergeCell ref="HML7:HMN7"/>
    <mergeCell ref="HLK7:HLM7"/>
    <mergeCell ref="HLN7:HLP7"/>
    <mergeCell ref="HLQ7:HLS7"/>
    <mergeCell ref="HLT7:HLV7"/>
    <mergeCell ref="HLW7:HLY7"/>
    <mergeCell ref="HKV7:HKX7"/>
    <mergeCell ref="HKY7:HLA7"/>
    <mergeCell ref="HLB7:HLD7"/>
    <mergeCell ref="HLE7:HLG7"/>
    <mergeCell ref="HLH7:HLJ7"/>
    <mergeCell ref="HKG7:HKI7"/>
    <mergeCell ref="HKJ7:HKL7"/>
    <mergeCell ref="HKM7:HKO7"/>
    <mergeCell ref="HKP7:HKR7"/>
    <mergeCell ref="HKS7:HKU7"/>
    <mergeCell ref="HJR7:HJT7"/>
    <mergeCell ref="HJU7:HJW7"/>
    <mergeCell ref="HJX7:HJZ7"/>
    <mergeCell ref="HKA7:HKC7"/>
    <mergeCell ref="HKD7:HKF7"/>
    <mergeCell ref="HJC7:HJE7"/>
    <mergeCell ref="HJF7:HJH7"/>
    <mergeCell ref="HJI7:HJK7"/>
    <mergeCell ref="HJL7:HJN7"/>
    <mergeCell ref="HJO7:HJQ7"/>
    <mergeCell ref="HIN7:HIP7"/>
    <mergeCell ref="HIQ7:HIS7"/>
    <mergeCell ref="HIT7:HIV7"/>
    <mergeCell ref="HIW7:HIY7"/>
    <mergeCell ref="HIZ7:HJB7"/>
    <mergeCell ref="HHY7:HIA7"/>
    <mergeCell ref="HIB7:HID7"/>
    <mergeCell ref="HIE7:HIG7"/>
    <mergeCell ref="HIH7:HIJ7"/>
    <mergeCell ref="HIK7:HIM7"/>
    <mergeCell ref="HHJ7:HHL7"/>
    <mergeCell ref="HHM7:HHO7"/>
    <mergeCell ref="HHP7:HHR7"/>
    <mergeCell ref="HHS7:HHU7"/>
    <mergeCell ref="HHV7:HHX7"/>
    <mergeCell ref="HGU7:HGW7"/>
    <mergeCell ref="HGX7:HGZ7"/>
    <mergeCell ref="HHA7:HHC7"/>
    <mergeCell ref="HHD7:HHF7"/>
    <mergeCell ref="HHG7:HHI7"/>
    <mergeCell ref="HGF7:HGH7"/>
    <mergeCell ref="HGI7:HGK7"/>
    <mergeCell ref="HGL7:HGN7"/>
    <mergeCell ref="HGO7:HGQ7"/>
    <mergeCell ref="HGR7:HGT7"/>
    <mergeCell ref="HFQ7:HFS7"/>
    <mergeCell ref="HFT7:HFV7"/>
    <mergeCell ref="HFW7:HFY7"/>
    <mergeCell ref="HFZ7:HGB7"/>
    <mergeCell ref="HGC7:HGE7"/>
    <mergeCell ref="HFB7:HFD7"/>
    <mergeCell ref="HFE7:HFG7"/>
    <mergeCell ref="HFH7:HFJ7"/>
    <mergeCell ref="HFK7:HFM7"/>
    <mergeCell ref="HFN7:HFP7"/>
    <mergeCell ref="HEM7:HEO7"/>
    <mergeCell ref="HEP7:HER7"/>
    <mergeCell ref="HES7:HEU7"/>
    <mergeCell ref="HEV7:HEX7"/>
    <mergeCell ref="HEY7:HFA7"/>
    <mergeCell ref="HDX7:HDZ7"/>
    <mergeCell ref="HEA7:HEC7"/>
    <mergeCell ref="HED7:HEF7"/>
    <mergeCell ref="HEG7:HEI7"/>
    <mergeCell ref="HEJ7:HEL7"/>
    <mergeCell ref="HDI7:HDK7"/>
    <mergeCell ref="HDL7:HDN7"/>
    <mergeCell ref="HDO7:HDQ7"/>
    <mergeCell ref="HDR7:HDT7"/>
    <mergeCell ref="HDU7:HDW7"/>
    <mergeCell ref="HCT7:HCV7"/>
    <mergeCell ref="HCW7:HCY7"/>
    <mergeCell ref="HCZ7:HDB7"/>
    <mergeCell ref="HDC7:HDE7"/>
    <mergeCell ref="HDF7:HDH7"/>
    <mergeCell ref="HCE7:HCG7"/>
    <mergeCell ref="HCH7:HCJ7"/>
    <mergeCell ref="HCK7:HCM7"/>
    <mergeCell ref="HCN7:HCP7"/>
    <mergeCell ref="HCQ7:HCS7"/>
    <mergeCell ref="HBP7:HBR7"/>
    <mergeCell ref="HBS7:HBU7"/>
    <mergeCell ref="HBV7:HBX7"/>
    <mergeCell ref="HBY7:HCA7"/>
    <mergeCell ref="HCB7:HCD7"/>
    <mergeCell ref="HBA7:HBC7"/>
    <mergeCell ref="HBD7:HBF7"/>
    <mergeCell ref="HBG7:HBI7"/>
    <mergeCell ref="HBJ7:HBL7"/>
    <mergeCell ref="HBM7:HBO7"/>
    <mergeCell ref="HAL7:HAN7"/>
    <mergeCell ref="HAO7:HAQ7"/>
    <mergeCell ref="HAR7:HAT7"/>
    <mergeCell ref="HAU7:HAW7"/>
    <mergeCell ref="HAX7:HAZ7"/>
    <mergeCell ref="GZW7:GZY7"/>
    <mergeCell ref="GZZ7:HAB7"/>
    <mergeCell ref="HAC7:HAE7"/>
    <mergeCell ref="HAF7:HAH7"/>
    <mergeCell ref="HAI7:HAK7"/>
    <mergeCell ref="GZH7:GZJ7"/>
    <mergeCell ref="GZK7:GZM7"/>
    <mergeCell ref="GZN7:GZP7"/>
    <mergeCell ref="GZQ7:GZS7"/>
    <mergeCell ref="GZT7:GZV7"/>
    <mergeCell ref="GYS7:GYU7"/>
    <mergeCell ref="GYV7:GYX7"/>
    <mergeCell ref="GYY7:GZA7"/>
    <mergeCell ref="GZB7:GZD7"/>
    <mergeCell ref="GZE7:GZG7"/>
    <mergeCell ref="GYD7:GYF7"/>
    <mergeCell ref="GYG7:GYI7"/>
    <mergeCell ref="GYJ7:GYL7"/>
    <mergeCell ref="GYM7:GYO7"/>
    <mergeCell ref="GYP7:GYR7"/>
    <mergeCell ref="GXO7:GXQ7"/>
    <mergeCell ref="GXR7:GXT7"/>
    <mergeCell ref="GXU7:GXW7"/>
    <mergeCell ref="GXX7:GXZ7"/>
    <mergeCell ref="GYA7:GYC7"/>
    <mergeCell ref="GWZ7:GXB7"/>
    <mergeCell ref="GXC7:GXE7"/>
    <mergeCell ref="GXF7:GXH7"/>
    <mergeCell ref="GXI7:GXK7"/>
    <mergeCell ref="GXL7:GXN7"/>
    <mergeCell ref="GWK7:GWM7"/>
    <mergeCell ref="GWN7:GWP7"/>
    <mergeCell ref="GWQ7:GWS7"/>
    <mergeCell ref="GWT7:GWV7"/>
    <mergeCell ref="GWW7:GWY7"/>
    <mergeCell ref="GVV7:GVX7"/>
    <mergeCell ref="GVY7:GWA7"/>
    <mergeCell ref="GWB7:GWD7"/>
    <mergeCell ref="GWE7:GWG7"/>
    <mergeCell ref="GWH7:GWJ7"/>
    <mergeCell ref="GVG7:GVI7"/>
    <mergeCell ref="GVJ7:GVL7"/>
    <mergeCell ref="GVM7:GVO7"/>
    <mergeCell ref="GVP7:GVR7"/>
    <mergeCell ref="GVS7:GVU7"/>
    <mergeCell ref="GUR7:GUT7"/>
    <mergeCell ref="GUU7:GUW7"/>
    <mergeCell ref="GUX7:GUZ7"/>
    <mergeCell ref="GVA7:GVC7"/>
    <mergeCell ref="GVD7:GVF7"/>
    <mergeCell ref="GUC7:GUE7"/>
    <mergeCell ref="GUF7:GUH7"/>
    <mergeCell ref="GUI7:GUK7"/>
    <mergeCell ref="GUL7:GUN7"/>
    <mergeCell ref="GUO7:GUQ7"/>
    <mergeCell ref="GTN7:GTP7"/>
    <mergeCell ref="GTQ7:GTS7"/>
    <mergeCell ref="GTT7:GTV7"/>
    <mergeCell ref="GTW7:GTY7"/>
    <mergeCell ref="GTZ7:GUB7"/>
    <mergeCell ref="GSY7:GTA7"/>
    <mergeCell ref="GTB7:GTD7"/>
    <mergeCell ref="GTE7:GTG7"/>
    <mergeCell ref="GTH7:GTJ7"/>
    <mergeCell ref="GTK7:GTM7"/>
    <mergeCell ref="GSJ7:GSL7"/>
    <mergeCell ref="GSM7:GSO7"/>
    <mergeCell ref="GSP7:GSR7"/>
    <mergeCell ref="GSS7:GSU7"/>
    <mergeCell ref="GSV7:GSX7"/>
    <mergeCell ref="GRU7:GRW7"/>
    <mergeCell ref="GRX7:GRZ7"/>
    <mergeCell ref="GSA7:GSC7"/>
    <mergeCell ref="GSD7:GSF7"/>
    <mergeCell ref="GSG7:GSI7"/>
    <mergeCell ref="GRF7:GRH7"/>
    <mergeCell ref="GRI7:GRK7"/>
    <mergeCell ref="GRL7:GRN7"/>
    <mergeCell ref="GRO7:GRQ7"/>
    <mergeCell ref="GRR7:GRT7"/>
    <mergeCell ref="GQQ7:GQS7"/>
    <mergeCell ref="GQT7:GQV7"/>
    <mergeCell ref="GQW7:GQY7"/>
    <mergeCell ref="GQZ7:GRB7"/>
    <mergeCell ref="GRC7:GRE7"/>
    <mergeCell ref="GQB7:GQD7"/>
    <mergeCell ref="GQE7:GQG7"/>
    <mergeCell ref="GQH7:GQJ7"/>
    <mergeCell ref="GQK7:GQM7"/>
    <mergeCell ref="GQN7:GQP7"/>
    <mergeCell ref="GPM7:GPO7"/>
    <mergeCell ref="GPP7:GPR7"/>
    <mergeCell ref="GPS7:GPU7"/>
    <mergeCell ref="GPV7:GPX7"/>
    <mergeCell ref="GPY7:GQA7"/>
    <mergeCell ref="GOX7:GOZ7"/>
    <mergeCell ref="GPA7:GPC7"/>
    <mergeCell ref="GPD7:GPF7"/>
    <mergeCell ref="GPG7:GPI7"/>
    <mergeCell ref="GPJ7:GPL7"/>
    <mergeCell ref="GOI7:GOK7"/>
    <mergeCell ref="GOL7:GON7"/>
    <mergeCell ref="GOO7:GOQ7"/>
    <mergeCell ref="GOR7:GOT7"/>
    <mergeCell ref="GOU7:GOW7"/>
    <mergeCell ref="GNT7:GNV7"/>
    <mergeCell ref="GNW7:GNY7"/>
    <mergeCell ref="GNZ7:GOB7"/>
    <mergeCell ref="GOC7:GOE7"/>
    <mergeCell ref="GOF7:GOH7"/>
    <mergeCell ref="GNE7:GNG7"/>
    <mergeCell ref="GNH7:GNJ7"/>
    <mergeCell ref="GNK7:GNM7"/>
    <mergeCell ref="GNN7:GNP7"/>
    <mergeCell ref="GNQ7:GNS7"/>
    <mergeCell ref="GMP7:GMR7"/>
    <mergeCell ref="GMS7:GMU7"/>
    <mergeCell ref="GMV7:GMX7"/>
    <mergeCell ref="GMY7:GNA7"/>
    <mergeCell ref="GNB7:GND7"/>
    <mergeCell ref="GMA7:GMC7"/>
    <mergeCell ref="GMD7:GMF7"/>
    <mergeCell ref="GMG7:GMI7"/>
    <mergeCell ref="GMJ7:GML7"/>
    <mergeCell ref="GMM7:GMO7"/>
    <mergeCell ref="GLL7:GLN7"/>
    <mergeCell ref="GLO7:GLQ7"/>
    <mergeCell ref="GLR7:GLT7"/>
    <mergeCell ref="GLU7:GLW7"/>
    <mergeCell ref="GLX7:GLZ7"/>
    <mergeCell ref="GKW7:GKY7"/>
    <mergeCell ref="GKZ7:GLB7"/>
    <mergeCell ref="GLC7:GLE7"/>
    <mergeCell ref="GLF7:GLH7"/>
    <mergeCell ref="GLI7:GLK7"/>
    <mergeCell ref="GKH7:GKJ7"/>
    <mergeCell ref="GKK7:GKM7"/>
    <mergeCell ref="GKN7:GKP7"/>
    <mergeCell ref="GKQ7:GKS7"/>
    <mergeCell ref="GKT7:GKV7"/>
    <mergeCell ref="GJS7:GJU7"/>
    <mergeCell ref="GJV7:GJX7"/>
    <mergeCell ref="GJY7:GKA7"/>
    <mergeCell ref="GKB7:GKD7"/>
    <mergeCell ref="GKE7:GKG7"/>
    <mergeCell ref="GJD7:GJF7"/>
    <mergeCell ref="GJG7:GJI7"/>
    <mergeCell ref="GJJ7:GJL7"/>
    <mergeCell ref="GJM7:GJO7"/>
    <mergeCell ref="GJP7:GJR7"/>
    <mergeCell ref="GIO7:GIQ7"/>
    <mergeCell ref="GIR7:GIT7"/>
    <mergeCell ref="GIU7:GIW7"/>
    <mergeCell ref="GIX7:GIZ7"/>
    <mergeCell ref="GJA7:GJC7"/>
    <mergeCell ref="GHZ7:GIB7"/>
    <mergeCell ref="GIC7:GIE7"/>
    <mergeCell ref="GIF7:GIH7"/>
    <mergeCell ref="GII7:GIK7"/>
    <mergeCell ref="GIL7:GIN7"/>
    <mergeCell ref="GHK7:GHM7"/>
    <mergeCell ref="GHN7:GHP7"/>
    <mergeCell ref="GHQ7:GHS7"/>
    <mergeCell ref="GHT7:GHV7"/>
    <mergeCell ref="GHW7:GHY7"/>
    <mergeCell ref="GGV7:GGX7"/>
    <mergeCell ref="GGY7:GHA7"/>
    <mergeCell ref="GHB7:GHD7"/>
    <mergeCell ref="GHE7:GHG7"/>
    <mergeCell ref="GHH7:GHJ7"/>
    <mergeCell ref="GGG7:GGI7"/>
    <mergeCell ref="GGJ7:GGL7"/>
    <mergeCell ref="GGM7:GGO7"/>
    <mergeCell ref="GGP7:GGR7"/>
    <mergeCell ref="GGS7:GGU7"/>
    <mergeCell ref="GFR7:GFT7"/>
    <mergeCell ref="GFU7:GFW7"/>
    <mergeCell ref="GFX7:GFZ7"/>
    <mergeCell ref="GGA7:GGC7"/>
    <mergeCell ref="GGD7:GGF7"/>
    <mergeCell ref="GFC7:GFE7"/>
    <mergeCell ref="GFF7:GFH7"/>
    <mergeCell ref="GFI7:GFK7"/>
    <mergeCell ref="GFL7:GFN7"/>
    <mergeCell ref="GFO7:GFQ7"/>
    <mergeCell ref="GEN7:GEP7"/>
    <mergeCell ref="GEQ7:GES7"/>
    <mergeCell ref="GET7:GEV7"/>
    <mergeCell ref="GEW7:GEY7"/>
    <mergeCell ref="GEZ7:GFB7"/>
    <mergeCell ref="GDY7:GEA7"/>
    <mergeCell ref="GEB7:GED7"/>
    <mergeCell ref="GEE7:GEG7"/>
    <mergeCell ref="GEH7:GEJ7"/>
    <mergeCell ref="GEK7:GEM7"/>
    <mergeCell ref="GDJ7:GDL7"/>
    <mergeCell ref="GDM7:GDO7"/>
    <mergeCell ref="GDP7:GDR7"/>
    <mergeCell ref="GDS7:GDU7"/>
    <mergeCell ref="GDV7:GDX7"/>
    <mergeCell ref="GCU7:GCW7"/>
    <mergeCell ref="GCX7:GCZ7"/>
    <mergeCell ref="GDA7:GDC7"/>
    <mergeCell ref="GDD7:GDF7"/>
    <mergeCell ref="GDG7:GDI7"/>
    <mergeCell ref="GCF7:GCH7"/>
    <mergeCell ref="GCI7:GCK7"/>
    <mergeCell ref="GCL7:GCN7"/>
    <mergeCell ref="GCO7:GCQ7"/>
    <mergeCell ref="GCR7:GCT7"/>
    <mergeCell ref="GBQ7:GBS7"/>
    <mergeCell ref="GBT7:GBV7"/>
    <mergeCell ref="GBW7:GBY7"/>
    <mergeCell ref="GBZ7:GCB7"/>
    <mergeCell ref="GCC7:GCE7"/>
    <mergeCell ref="GBB7:GBD7"/>
    <mergeCell ref="GBE7:GBG7"/>
    <mergeCell ref="GBH7:GBJ7"/>
    <mergeCell ref="GBK7:GBM7"/>
    <mergeCell ref="GBN7:GBP7"/>
    <mergeCell ref="GAM7:GAO7"/>
    <mergeCell ref="GAP7:GAR7"/>
    <mergeCell ref="GAS7:GAU7"/>
    <mergeCell ref="GAV7:GAX7"/>
    <mergeCell ref="GAY7:GBA7"/>
    <mergeCell ref="FZX7:FZZ7"/>
    <mergeCell ref="GAA7:GAC7"/>
    <mergeCell ref="GAD7:GAF7"/>
    <mergeCell ref="GAG7:GAI7"/>
    <mergeCell ref="GAJ7:GAL7"/>
    <mergeCell ref="FZI7:FZK7"/>
    <mergeCell ref="FZL7:FZN7"/>
    <mergeCell ref="FZO7:FZQ7"/>
    <mergeCell ref="FZR7:FZT7"/>
    <mergeCell ref="FZU7:FZW7"/>
    <mergeCell ref="FYT7:FYV7"/>
    <mergeCell ref="FYW7:FYY7"/>
    <mergeCell ref="FYZ7:FZB7"/>
    <mergeCell ref="FZC7:FZE7"/>
    <mergeCell ref="FZF7:FZH7"/>
    <mergeCell ref="FYE7:FYG7"/>
    <mergeCell ref="FYH7:FYJ7"/>
    <mergeCell ref="FYK7:FYM7"/>
    <mergeCell ref="FYN7:FYP7"/>
    <mergeCell ref="FYQ7:FYS7"/>
    <mergeCell ref="FXP7:FXR7"/>
    <mergeCell ref="FXS7:FXU7"/>
    <mergeCell ref="FXV7:FXX7"/>
    <mergeCell ref="FXY7:FYA7"/>
    <mergeCell ref="FYB7:FYD7"/>
    <mergeCell ref="FXA7:FXC7"/>
    <mergeCell ref="FXD7:FXF7"/>
    <mergeCell ref="FXG7:FXI7"/>
    <mergeCell ref="FXJ7:FXL7"/>
    <mergeCell ref="FXM7:FXO7"/>
    <mergeCell ref="FWL7:FWN7"/>
    <mergeCell ref="FWO7:FWQ7"/>
    <mergeCell ref="FWR7:FWT7"/>
    <mergeCell ref="FWU7:FWW7"/>
    <mergeCell ref="FWX7:FWZ7"/>
    <mergeCell ref="FVW7:FVY7"/>
    <mergeCell ref="FVZ7:FWB7"/>
    <mergeCell ref="FWC7:FWE7"/>
    <mergeCell ref="FWF7:FWH7"/>
    <mergeCell ref="FWI7:FWK7"/>
    <mergeCell ref="FVH7:FVJ7"/>
    <mergeCell ref="FVK7:FVM7"/>
    <mergeCell ref="FVN7:FVP7"/>
    <mergeCell ref="FVQ7:FVS7"/>
    <mergeCell ref="FVT7:FVV7"/>
    <mergeCell ref="FUS7:FUU7"/>
    <mergeCell ref="FUV7:FUX7"/>
    <mergeCell ref="FUY7:FVA7"/>
    <mergeCell ref="FVB7:FVD7"/>
    <mergeCell ref="FVE7:FVG7"/>
    <mergeCell ref="FUD7:FUF7"/>
    <mergeCell ref="FUG7:FUI7"/>
    <mergeCell ref="FUJ7:FUL7"/>
    <mergeCell ref="FUM7:FUO7"/>
    <mergeCell ref="FUP7:FUR7"/>
    <mergeCell ref="FTO7:FTQ7"/>
    <mergeCell ref="FTR7:FTT7"/>
    <mergeCell ref="FTU7:FTW7"/>
    <mergeCell ref="FTX7:FTZ7"/>
    <mergeCell ref="FUA7:FUC7"/>
    <mergeCell ref="FSZ7:FTB7"/>
    <mergeCell ref="FTC7:FTE7"/>
    <mergeCell ref="FTF7:FTH7"/>
    <mergeCell ref="FTI7:FTK7"/>
    <mergeCell ref="FTL7:FTN7"/>
    <mergeCell ref="FSK7:FSM7"/>
    <mergeCell ref="FSN7:FSP7"/>
    <mergeCell ref="FSQ7:FSS7"/>
    <mergeCell ref="FST7:FSV7"/>
    <mergeCell ref="FSW7:FSY7"/>
    <mergeCell ref="FRV7:FRX7"/>
    <mergeCell ref="FRY7:FSA7"/>
    <mergeCell ref="FSB7:FSD7"/>
    <mergeCell ref="FSE7:FSG7"/>
    <mergeCell ref="FSH7:FSJ7"/>
    <mergeCell ref="FRG7:FRI7"/>
    <mergeCell ref="FRJ7:FRL7"/>
    <mergeCell ref="FRM7:FRO7"/>
    <mergeCell ref="FRP7:FRR7"/>
    <mergeCell ref="FRS7:FRU7"/>
    <mergeCell ref="FQR7:FQT7"/>
    <mergeCell ref="FQU7:FQW7"/>
    <mergeCell ref="FQX7:FQZ7"/>
    <mergeCell ref="FRA7:FRC7"/>
    <mergeCell ref="FRD7:FRF7"/>
    <mergeCell ref="FQC7:FQE7"/>
    <mergeCell ref="FQF7:FQH7"/>
    <mergeCell ref="FQI7:FQK7"/>
    <mergeCell ref="FQL7:FQN7"/>
    <mergeCell ref="FQO7:FQQ7"/>
    <mergeCell ref="FPN7:FPP7"/>
    <mergeCell ref="FPQ7:FPS7"/>
    <mergeCell ref="FPT7:FPV7"/>
    <mergeCell ref="FPW7:FPY7"/>
    <mergeCell ref="FPZ7:FQB7"/>
    <mergeCell ref="FOY7:FPA7"/>
    <mergeCell ref="FPB7:FPD7"/>
    <mergeCell ref="FPE7:FPG7"/>
    <mergeCell ref="FPH7:FPJ7"/>
    <mergeCell ref="FPK7:FPM7"/>
    <mergeCell ref="FOJ7:FOL7"/>
    <mergeCell ref="FOM7:FOO7"/>
    <mergeCell ref="FOP7:FOR7"/>
    <mergeCell ref="FOS7:FOU7"/>
    <mergeCell ref="FOV7:FOX7"/>
    <mergeCell ref="FNU7:FNW7"/>
    <mergeCell ref="FNX7:FNZ7"/>
    <mergeCell ref="FOA7:FOC7"/>
    <mergeCell ref="FOD7:FOF7"/>
    <mergeCell ref="FOG7:FOI7"/>
    <mergeCell ref="FNF7:FNH7"/>
    <mergeCell ref="FNI7:FNK7"/>
    <mergeCell ref="FNL7:FNN7"/>
    <mergeCell ref="FNO7:FNQ7"/>
    <mergeCell ref="FNR7:FNT7"/>
    <mergeCell ref="FMQ7:FMS7"/>
    <mergeCell ref="FMT7:FMV7"/>
    <mergeCell ref="FMW7:FMY7"/>
    <mergeCell ref="FMZ7:FNB7"/>
    <mergeCell ref="FNC7:FNE7"/>
    <mergeCell ref="FMB7:FMD7"/>
    <mergeCell ref="FME7:FMG7"/>
    <mergeCell ref="FMH7:FMJ7"/>
    <mergeCell ref="FMK7:FMM7"/>
    <mergeCell ref="FMN7:FMP7"/>
    <mergeCell ref="FLM7:FLO7"/>
    <mergeCell ref="FLP7:FLR7"/>
    <mergeCell ref="FLS7:FLU7"/>
    <mergeCell ref="FLV7:FLX7"/>
    <mergeCell ref="FLY7:FMA7"/>
    <mergeCell ref="FKX7:FKZ7"/>
    <mergeCell ref="FLA7:FLC7"/>
    <mergeCell ref="FLD7:FLF7"/>
    <mergeCell ref="FLG7:FLI7"/>
    <mergeCell ref="FLJ7:FLL7"/>
    <mergeCell ref="FKI7:FKK7"/>
    <mergeCell ref="FKL7:FKN7"/>
    <mergeCell ref="FKO7:FKQ7"/>
    <mergeCell ref="FKR7:FKT7"/>
    <mergeCell ref="FKU7:FKW7"/>
    <mergeCell ref="FJT7:FJV7"/>
    <mergeCell ref="FJW7:FJY7"/>
    <mergeCell ref="FJZ7:FKB7"/>
    <mergeCell ref="FKC7:FKE7"/>
    <mergeCell ref="FKF7:FKH7"/>
    <mergeCell ref="FJE7:FJG7"/>
    <mergeCell ref="FJH7:FJJ7"/>
    <mergeCell ref="FJK7:FJM7"/>
    <mergeCell ref="FJN7:FJP7"/>
    <mergeCell ref="FJQ7:FJS7"/>
    <mergeCell ref="FIP7:FIR7"/>
    <mergeCell ref="FIS7:FIU7"/>
    <mergeCell ref="FIV7:FIX7"/>
    <mergeCell ref="FIY7:FJA7"/>
    <mergeCell ref="FJB7:FJD7"/>
    <mergeCell ref="FIA7:FIC7"/>
    <mergeCell ref="FID7:FIF7"/>
    <mergeCell ref="FIG7:FII7"/>
    <mergeCell ref="FIJ7:FIL7"/>
    <mergeCell ref="FIM7:FIO7"/>
    <mergeCell ref="FHL7:FHN7"/>
    <mergeCell ref="FHO7:FHQ7"/>
    <mergeCell ref="FHR7:FHT7"/>
    <mergeCell ref="FHU7:FHW7"/>
    <mergeCell ref="FHX7:FHZ7"/>
    <mergeCell ref="FGW7:FGY7"/>
    <mergeCell ref="FGZ7:FHB7"/>
    <mergeCell ref="FHC7:FHE7"/>
    <mergeCell ref="FHF7:FHH7"/>
    <mergeCell ref="FHI7:FHK7"/>
    <mergeCell ref="FGH7:FGJ7"/>
    <mergeCell ref="FGK7:FGM7"/>
    <mergeCell ref="FGN7:FGP7"/>
    <mergeCell ref="FGQ7:FGS7"/>
    <mergeCell ref="FGT7:FGV7"/>
    <mergeCell ref="FFS7:FFU7"/>
    <mergeCell ref="FFV7:FFX7"/>
    <mergeCell ref="FFY7:FGA7"/>
    <mergeCell ref="FGB7:FGD7"/>
    <mergeCell ref="FGE7:FGG7"/>
    <mergeCell ref="FFD7:FFF7"/>
    <mergeCell ref="FFG7:FFI7"/>
    <mergeCell ref="FFJ7:FFL7"/>
    <mergeCell ref="FFM7:FFO7"/>
    <mergeCell ref="FFP7:FFR7"/>
    <mergeCell ref="FEO7:FEQ7"/>
    <mergeCell ref="FER7:FET7"/>
    <mergeCell ref="FEU7:FEW7"/>
    <mergeCell ref="FEX7:FEZ7"/>
    <mergeCell ref="FFA7:FFC7"/>
    <mergeCell ref="FDZ7:FEB7"/>
    <mergeCell ref="FEC7:FEE7"/>
    <mergeCell ref="FEF7:FEH7"/>
    <mergeCell ref="FEI7:FEK7"/>
    <mergeCell ref="FEL7:FEN7"/>
    <mergeCell ref="FDK7:FDM7"/>
    <mergeCell ref="FDN7:FDP7"/>
    <mergeCell ref="FDQ7:FDS7"/>
    <mergeCell ref="FDT7:FDV7"/>
    <mergeCell ref="FDW7:FDY7"/>
    <mergeCell ref="FCV7:FCX7"/>
    <mergeCell ref="FCY7:FDA7"/>
    <mergeCell ref="FDB7:FDD7"/>
    <mergeCell ref="FDE7:FDG7"/>
    <mergeCell ref="FDH7:FDJ7"/>
    <mergeCell ref="FCG7:FCI7"/>
    <mergeCell ref="FCJ7:FCL7"/>
    <mergeCell ref="FCM7:FCO7"/>
    <mergeCell ref="FCP7:FCR7"/>
    <mergeCell ref="FCS7:FCU7"/>
    <mergeCell ref="FBR7:FBT7"/>
    <mergeCell ref="FBU7:FBW7"/>
    <mergeCell ref="FBX7:FBZ7"/>
    <mergeCell ref="FCA7:FCC7"/>
    <mergeCell ref="FCD7:FCF7"/>
    <mergeCell ref="FBC7:FBE7"/>
    <mergeCell ref="FBF7:FBH7"/>
    <mergeCell ref="FBI7:FBK7"/>
    <mergeCell ref="FBL7:FBN7"/>
    <mergeCell ref="FBO7:FBQ7"/>
    <mergeCell ref="FAN7:FAP7"/>
    <mergeCell ref="FAQ7:FAS7"/>
    <mergeCell ref="FAT7:FAV7"/>
    <mergeCell ref="FAW7:FAY7"/>
    <mergeCell ref="FAZ7:FBB7"/>
    <mergeCell ref="EZY7:FAA7"/>
    <mergeCell ref="FAB7:FAD7"/>
    <mergeCell ref="FAE7:FAG7"/>
    <mergeCell ref="FAH7:FAJ7"/>
    <mergeCell ref="FAK7:FAM7"/>
    <mergeCell ref="EZJ7:EZL7"/>
    <mergeCell ref="EZM7:EZO7"/>
    <mergeCell ref="EZP7:EZR7"/>
    <mergeCell ref="EZS7:EZU7"/>
    <mergeCell ref="EZV7:EZX7"/>
    <mergeCell ref="EYU7:EYW7"/>
    <mergeCell ref="EYX7:EYZ7"/>
    <mergeCell ref="EZA7:EZC7"/>
    <mergeCell ref="EZD7:EZF7"/>
    <mergeCell ref="EZG7:EZI7"/>
    <mergeCell ref="EYF7:EYH7"/>
    <mergeCell ref="EYI7:EYK7"/>
    <mergeCell ref="EYL7:EYN7"/>
    <mergeCell ref="EYO7:EYQ7"/>
    <mergeCell ref="EYR7:EYT7"/>
    <mergeCell ref="EXQ7:EXS7"/>
    <mergeCell ref="EXT7:EXV7"/>
    <mergeCell ref="EXW7:EXY7"/>
    <mergeCell ref="EXZ7:EYB7"/>
    <mergeCell ref="EYC7:EYE7"/>
    <mergeCell ref="EXB7:EXD7"/>
    <mergeCell ref="EXE7:EXG7"/>
    <mergeCell ref="EXH7:EXJ7"/>
    <mergeCell ref="EXK7:EXM7"/>
    <mergeCell ref="EXN7:EXP7"/>
    <mergeCell ref="EWM7:EWO7"/>
    <mergeCell ref="EWP7:EWR7"/>
    <mergeCell ref="EWS7:EWU7"/>
    <mergeCell ref="EWV7:EWX7"/>
    <mergeCell ref="EWY7:EXA7"/>
    <mergeCell ref="EVX7:EVZ7"/>
    <mergeCell ref="EWA7:EWC7"/>
    <mergeCell ref="EWD7:EWF7"/>
    <mergeCell ref="EWG7:EWI7"/>
    <mergeCell ref="EWJ7:EWL7"/>
    <mergeCell ref="EVI7:EVK7"/>
    <mergeCell ref="EVL7:EVN7"/>
    <mergeCell ref="EVO7:EVQ7"/>
    <mergeCell ref="EVR7:EVT7"/>
    <mergeCell ref="EVU7:EVW7"/>
    <mergeCell ref="EUT7:EUV7"/>
    <mergeCell ref="EUW7:EUY7"/>
    <mergeCell ref="EUZ7:EVB7"/>
    <mergeCell ref="EVC7:EVE7"/>
    <mergeCell ref="EVF7:EVH7"/>
    <mergeCell ref="EUE7:EUG7"/>
    <mergeCell ref="EUH7:EUJ7"/>
    <mergeCell ref="EUK7:EUM7"/>
    <mergeCell ref="EUN7:EUP7"/>
    <mergeCell ref="EUQ7:EUS7"/>
    <mergeCell ref="ETP7:ETR7"/>
    <mergeCell ref="ETS7:ETU7"/>
    <mergeCell ref="ETV7:ETX7"/>
    <mergeCell ref="ETY7:EUA7"/>
    <mergeCell ref="EUB7:EUD7"/>
    <mergeCell ref="ETA7:ETC7"/>
    <mergeCell ref="ETD7:ETF7"/>
    <mergeCell ref="ETG7:ETI7"/>
    <mergeCell ref="ETJ7:ETL7"/>
    <mergeCell ref="ETM7:ETO7"/>
    <mergeCell ref="ESL7:ESN7"/>
    <mergeCell ref="ESO7:ESQ7"/>
    <mergeCell ref="ESR7:EST7"/>
    <mergeCell ref="ESU7:ESW7"/>
    <mergeCell ref="ESX7:ESZ7"/>
    <mergeCell ref="ERW7:ERY7"/>
    <mergeCell ref="ERZ7:ESB7"/>
    <mergeCell ref="ESC7:ESE7"/>
    <mergeCell ref="ESF7:ESH7"/>
    <mergeCell ref="ESI7:ESK7"/>
    <mergeCell ref="ERH7:ERJ7"/>
    <mergeCell ref="ERK7:ERM7"/>
    <mergeCell ref="ERN7:ERP7"/>
    <mergeCell ref="ERQ7:ERS7"/>
    <mergeCell ref="ERT7:ERV7"/>
    <mergeCell ref="EQS7:EQU7"/>
    <mergeCell ref="EQV7:EQX7"/>
    <mergeCell ref="EQY7:ERA7"/>
    <mergeCell ref="ERB7:ERD7"/>
    <mergeCell ref="ERE7:ERG7"/>
    <mergeCell ref="EQD7:EQF7"/>
    <mergeCell ref="EQG7:EQI7"/>
    <mergeCell ref="EQJ7:EQL7"/>
    <mergeCell ref="EQM7:EQO7"/>
    <mergeCell ref="EQP7:EQR7"/>
    <mergeCell ref="EPO7:EPQ7"/>
    <mergeCell ref="EPR7:EPT7"/>
    <mergeCell ref="EPU7:EPW7"/>
    <mergeCell ref="EPX7:EPZ7"/>
    <mergeCell ref="EQA7:EQC7"/>
    <mergeCell ref="EOZ7:EPB7"/>
    <mergeCell ref="EPC7:EPE7"/>
    <mergeCell ref="EPF7:EPH7"/>
    <mergeCell ref="EPI7:EPK7"/>
    <mergeCell ref="EPL7:EPN7"/>
    <mergeCell ref="EOK7:EOM7"/>
    <mergeCell ref="EON7:EOP7"/>
    <mergeCell ref="EOQ7:EOS7"/>
    <mergeCell ref="EOT7:EOV7"/>
    <mergeCell ref="EOW7:EOY7"/>
    <mergeCell ref="ENV7:ENX7"/>
    <mergeCell ref="ENY7:EOA7"/>
    <mergeCell ref="EOB7:EOD7"/>
    <mergeCell ref="EOE7:EOG7"/>
    <mergeCell ref="EOH7:EOJ7"/>
    <mergeCell ref="ENG7:ENI7"/>
    <mergeCell ref="ENJ7:ENL7"/>
    <mergeCell ref="ENM7:ENO7"/>
    <mergeCell ref="ENP7:ENR7"/>
    <mergeCell ref="ENS7:ENU7"/>
    <mergeCell ref="EMR7:EMT7"/>
    <mergeCell ref="EMU7:EMW7"/>
    <mergeCell ref="EMX7:EMZ7"/>
    <mergeCell ref="ENA7:ENC7"/>
    <mergeCell ref="END7:ENF7"/>
    <mergeCell ref="EMC7:EME7"/>
    <mergeCell ref="EMF7:EMH7"/>
    <mergeCell ref="EMI7:EMK7"/>
    <mergeCell ref="EML7:EMN7"/>
    <mergeCell ref="EMO7:EMQ7"/>
    <mergeCell ref="ELN7:ELP7"/>
    <mergeCell ref="ELQ7:ELS7"/>
    <mergeCell ref="ELT7:ELV7"/>
    <mergeCell ref="ELW7:ELY7"/>
    <mergeCell ref="ELZ7:EMB7"/>
    <mergeCell ref="EKY7:ELA7"/>
    <mergeCell ref="ELB7:ELD7"/>
    <mergeCell ref="ELE7:ELG7"/>
    <mergeCell ref="ELH7:ELJ7"/>
    <mergeCell ref="ELK7:ELM7"/>
    <mergeCell ref="EKJ7:EKL7"/>
    <mergeCell ref="EKM7:EKO7"/>
    <mergeCell ref="EKP7:EKR7"/>
    <mergeCell ref="EKS7:EKU7"/>
    <mergeCell ref="EKV7:EKX7"/>
    <mergeCell ref="EJU7:EJW7"/>
    <mergeCell ref="EJX7:EJZ7"/>
    <mergeCell ref="EKA7:EKC7"/>
    <mergeCell ref="EKD7:EKF7"/>
    <mergeCell ref="EKG7:EKI7"/>
    <mergeCell ref="EJF7:EJH7"/>
    <mergeCell ref="EJI7:EJK7"/>
    <mergeCell ref="EJL7:EJN7"/>
    <mergeCell ref="EJO7:EJQ7"/>
    <mergeCell ref="EJR7:EJT7"/>
    <mergeCell ref="EIQ7:EIS7"/>
    <mergeCell ref="EIT7:EIV7"/>
    <mergeCell ref="EIW7:EIY7"/>
    <mergeCell ref="EIZ7:EJB7"/>
    <mergeCell ref="EJC7:EJE7"/>
    <mergeCell ref="EIB7:EID7"/>
    <mergeCell ref="EIE7:EIG7"/>
    <mergeCell ref="EIH7:EIJ7"/>
    <mergeCell ref="EIK7:EIM7"/>
    <mergeCell ref="EIN7:EIP7"/>
    <mergeCell ref="EHM7:EHO7"/>
    <mergeCell ref="EHP7:EHR7"/>
    <mergeCell ref="EHS7:EHU7"/>
    <mergeCell ref="EHV7:EHX7"/>
    <mergeCell ref="EHY7:EIA7"/>
    <mergeCell ref="EGX7:EGZ7"/>
    <mergeCell ref="EHA7:EHC7"/>
    <mergeCell ref="EHD7:EHF7"/>
    <mergeCell ref="EHG7:EHI7"/>
    <mergeCell ref="EHJ7:EHL7"/>
    <mergeCell ref="EGI7:EGK7"/>
    <mergeCell ref="EGL7:EGN7"/>
    <mergeCell ref="EGO7:EGQ7"/>
    <mergeCell ref="EGR7:EGT7"/>
    <mergeCell ref="EGU7:EGW7"/>
    <mergeCell ref="EFT7:EFV7"/>
    <mergeCell ref="EFW7:EFY7"/>
    <mergeCell ref="EFZ7:EGB7"/>
    <mergeCell ref="EGC7:EGE7"/>
    <mergeCell ref="EGF7:EGH7"/>
    <mergeCell ref="EFE7:EFG7"/>
    <mergeCell ref="EFH7:EFJ7"/>
    <mergeCell ref="EFK7:EFM7"/>
    <mergeCell ref="EFN7:EFP7"/>
    <mergeCell ref="EFQ7:EFS7"/>
    <mergeCell ref="EEP7:EER7"/>
    <mergeCell ref="EES7:EEU7"/>
    <mergeCell ref="EEV7:EEX7"/>
    <mergeCell ref="EEY7:EFA7"/>
    <mergeCell ref="EFB7:EFD7"/>
    <mergeCell ref="EEA7:EEC7"/>
    <mergeCell ref="EED7:EEF7"/>
    <mergeCell ref="EEG7:EEI7"/>
    <mergeCell ref="EEJ7:EEL7"/>
    <mergeCell ref="EEM7:EEO7"/>
    <mergeCell ref="EDL7:EDN7"/>
    <mergeCell ref="EDO7:EDQ7"/>
    <mergeCell ref="EDR7:EDT7"/>
    <mergeCell ref="EDU7:EDW7"/>
    <mergeCell ref="EDX7:EDZ7"/>
    <mergeCell ref="ECW7:ECY7"/>
    <mergeCell ref="ECZ7:EDB7"/>
    <mergeCell ref="EDC7:EDE7"/>
    <mergeCell ref="EDF7:EDH7"/>
    <mergeCell ref="EDI7:EDK7"/>
    <mergeCell ref="ECH7:ECJ7"/>
    <mergeCell ref="ECK7:ECM7"/>
    <mergeCell ref="ECN7:ECP7"/>
    <mergeCell ref="ECQ7:ECS7"/>
    <mergeCell ref="ECT7:ECV7"/>
    <mergeCell ref="EBS7:EBU7"/>
    <mergeCell ref="EBV7:EBX7"/>
    <mergeCell ref="EBY7:ECA7"/>
    <mergeCell ref="ECB7:ECD7"/>
    <mergeCell ref="ECE7:ECG7"/>
    <mergeCell ref="EBD7:EBF7"/>
    <mergeCell ref="EBG7:EBI7"/>
    <mergeCell ref="EBJ7:EBL7"/>
    <mergeCell ref="EBM7:EBO7"/>
    <mergeCell ref="EBP7:EBR7"/>
    <mergeCell ref="EAO7:EAQ7"/>
    <mergeCell ref="EAR7:EAT7"/>
    <mergeCell ref="EAU7:EAW7"/>
    <mergeCell ref="EAX7:EAZ7"/>
    <mergeCell ref="EBA7:EBC7"/>
    <mergeCell ref="DZZ7:EAB7"/>
    <mergeCell ref="EAC7:EAE7"/>
    <mergeCell ref="EAF7:EAH7"/>
    <mergeCell ref="EAI7:EAK7"/>
    <mergeCell ref="EAL7:EAN7"/>
    <mergeCell ref="DZK7:DZM7"/>
    <mergeCell ref="DZN7:DZP7"/>
    <mergeCell ref="DZQ7:DZS7"/>
    <mergeCell ref="DZT7:DZV7"/>
    <mergeCell ref="DZW7:DZY7"/>
    <mergeCell ref="DYV7:DYX7"/>
    <mergeCell ref="DYY7:DZA7"/>
    <mergeCell ref="DZB7:DZD7"/>
    <mergeCell ref="DZE7:DZG7"/>
    <mergeCell ref="DZH7:DZJ7"/>
    <mergeCell ref="DYG7:DYI7"/>
    <mergeCell ref="DYJ7:DYL7"/>
    <mergeCell ref="DYM7:DYO7"/>
    <mergeCell ref="DYP7:DYR7"/>
    <mergeCell ref="DYS7:DYU7"/>
    <mergeCell ref="DXR7:DXT7"/>
    <mergeCell ref="DXU7:DXW7"/>
    <mergeCell ref="DXX7:DXZ7"/>
    <mergeCell ref="DYA7:DYC7"/>
    <mergeCell ref="DYD7:DYF7"/>
    <mergeCell ref="DXC7:DXE7"/>
    <mergeCell ref="DXF7:DXH7"/>
    <mergeCell ref="DXI7:DXK7"/>
    <mergeCell ref="DXL7:DXN7"/>
    <mergeCell ref="DXO7:DXQ7"/>
    <mergeCell ref="DWN7:DWP7"/>
    <mergeCell ref="DWQ7:DWS7"/>
    <mergeCell ref="DWT7:DWV7"/>
    <mergeCell ref="DWW7:DWY7"/>
    <mergeCell ref="DWZ7:DXB7"/>
    <mergeCell ref="DVY7:DWA7"/>
    <mergeCell ref="DWB7:DWD7"/>
    <mergeCell ref="DWE7:DWG7"/>
    <mergeCell ref="DWH7:DWJ7"/>
    <mergeCell ref="DWK7:DWM7"/>
    <mergeCell ref="DVJ7:DVL7"/>
    <mergeCell ref="DVM7:DVO7"/>
    <mergeCell ref="DVP7:DVR7"/>
    <mergeCell ref="DVS7:DVU7"/>
    <mergeCell ref="DVV7:DVX7"/>
    <mergeCell ref="DUU7:DUW7"/>
    <mergeCell ref="DUX7:DUZ7"/>
    <mergeCell ref="DVA7:DVC7"/>
    <mergeCell ref="DVD7:DVF7"/>
    <mergeCell ref="DVG7:DVI7"/>
    <mergeCell ref="DUF7:DUH7"/>
    <mergeCell ref="DUI7:DUK7"/>
    <mergeCell ref="DUL7:DUN7"/>
    <mergeCell ref="DUO7:DUQ7"/>
    <mergeCell ref="DUR7:DUT7"/>
    <mergeCell ref="DTQ7:DTS7"/>
    <mergeCell ref="DTT7:DTV7"/>
    <mergeCell ref="DTW7:DTY7"/>
    <mergeCell ref="DTZ7:DUB7"/>
    <mergeCell ref="DUC7:DUE7"/>
    <mergeCell ref="DTB7:DTD7"/>
    <mergeCell ref="DTE7:DTG7"/>
    <mergeCell ref="DTH7:DTJ7"/>
    <mergeCell ref="DTK7:DTM7"/>
    <mergeCell ref="DTN7:DTP7"/>
    <mergeCell ref="DSM7:DSO7"/>
    <mergeCell ref="DSP7:DSR7"/>
    <mergeCell ref="DSS7:DSU7"/>
    <mergeCell ref="DSV7:DSX7"/>
    <mergeCell ref="DSY7:DTA7"/>
    <mergeCell ref="DRX7:DRZ7"/>
    <mergeCell ref="DSA7:DSC7"/>
    <mergeCell ref="DSD7:DSF7"/>
    <mergeCell ref="DSG7:DSI7"/>
    <mergeCell ref="DSJ7:DSL7"/>
    <mergeCell ref="DRI7:DRK7"/>
    <mergeCell ref="DRL7:DRN7"/>
    <mergeCell ref="DRO7:DRQ7"/>
    <mergeCell ref="DRR7:DRT7"/>
    <mergeCell ref="DRU7:DRW7"/>
    <mergeCell ref="DQT7:DQV7"/>
    <mergeCell ref="DQW7:DQY7"/>
    <mergeCell ref="DQZ7:DRB7"/>
    <mergeCell ref="DRC7:DRE7"/>
    <mergeCell ref="DRF7:DRH7"/>
    <mergeCell ref="DQE7:DQG7"/>
    <mergeCell ref="DQH7:DQJ7"/>
    <mergeCell ref="DQK7:DQM7"/>
    <mergeCell ref="DQN7:DQP7"/>
    <mergeCell ref="DQQ7:DQS7"/>
    <mergeCell ref="DPP7:DPR7"/>
    <mergeCell ref="DPS7:DPU7"/>
    <mergeCell ref="DPV7:DPX7"/>
    <mergeCell ref="DPY7:DQA7"/>
    <mergeCell ref="DQB7:DQD7"/>
    <mergeCell ref="DPA7:DPC7"/>
    <mergeCell ref="DPD7:DPF7"/>
    <mergeCell ref="DPG7:DPI7"/>
    <mergeCell ref="DPJ7:DPL7"/>
    <mergeCell ref="DPM7:DPO7"/>
    <mergeCell ref="DOL7:DON7"/>
    <mergeCell ref="DOO7:DOQ7"/>
    <mergeCell ref="DOR7:DOT7"/>
    <mergeCell ref="DOU7:DOW7"/>
    <mergeCell ref="DOX7:DOZ7"/>
    <mergeCell ref="DNW7:DNY7"/>
    <mergeCell ref="DNZ7:DOB7"/>
    <mergeCell ref="DOC7:DOE7"/>
    <mergeCell ref="DOF7:DOH7"/>
    <mergeCell ref="DOI7:DOK7"/>
    <mergeCell ref="DNH7:DNJ7"/>
    <mergeCell ref="DNK7:DNM7"/>
    <mergeCell ref="DNN7:DNP7"/>
    <mergeCell ref="DNQ7:DNS7"/>
    <mergeCell ref="DNT7:DNV7"/>
    <mergeCell ref="DMS7:DMU7"/>
    <mergeCell ref="DMV7:DMX7"/>
    <mergeCell ref="DMY7:DNA7"/>
    <mergeCell ref="DNB7:DND7"/>
    <mergeCell ref="DNE7:DNG7"/>
    <mergeCell ref="DMD7:DMF7"/>
    <mergeCell ref="DMG7:DMI7"/>
    <mergeCell ref="DMJ7:DML7"/>
    <mergeCell ref="DMM7:DMO7"/>
    <mergeCell ref="DMP7:DMR7"/>
    <mergeCell ref="DLO7:DLQ7"/>
    <mergeCell ref="DLR7:DLT7"/>
    <mergeCell ref="DLU7:DLW7"/>
    <mergeCell ref="DLX7:DLZ7"/>
    <mergeCell ref="DMA7:DMC7"/>
    <mergeCell ref="DKZ7:DLB7"/>
    <mergeCell ref="DLC7:DLE7"/>
    <mergeCell ref="DLF7:DLH7"/>
    <mergeCell ref="DLI7:DLK7"/>
    <mergeCell ref="DLL7:DLN7"/>
    <mergeCell ref="DKK7:DKM7"/>
    <mergeCell ref="DKN7:DKP7"/>
    <mergeCell ref="DKQ7:DKS7"/>
    <mergeCell ref="DKT7:DKV7"/>
    <mergeCell ref="DKW7:DKY7"/>
    <mergeCell ref="DJV7:DJX7"/>
    <mergeCell ref="DJY7:DKA7"/>
    <mergeCell ref="DKB7:DKD7"/>
    <mergeCell ref="DKE7:DKG7"/>
    <mergeCell ref="DKH7:DKJ7"/>
    <mergeCell ref="DJG7:DJI7"/>
    <mergeCell ref="DJJ7:DJL7"/>
    <mergeCell ref="DJM7:DJO7"/>
    <mergeCell ref="DJP7:DJR7"/>
    <mergeCell ref="DJS7:DJU7"/>
    <mergeCell ref="DIR7:DIT7"/>
    <mergeCell ref="DIU7:DIW7"/>
    <mergeCell ref="DIX7:DIZ7"/>
    <mergeCell ref="DJA7:DJC7"/>
    <mergeCell ref="DJD7:DJF7"/>
    <mergeCell ref="DIC7:DIE7"/>
    <mergeCell ref="DIF7:DIH7"/>
    <mergeCell ref="DII7:DIK7"/>
    <mergeCell ref="DIL7:DIN7"/>
    <mergeCell ref="DIO7:DIQ7"/>
    <mergeCell ref="DHN7:DHP7"/>
    <mergeCell ref="DHQ7:DHS7"/>
    <mergeCell ref="DHT7:DHV7"/>
    <mergeCell ref="DHW7:DHY7"/>
    <mergeCell ref="DHZ7:DIB7"/>
    <mergeCell ref="DGY7:DHA7"/>
    <mergeCell ref="DHB7:DHD7"/>
    <mergeCell ref="DHE7:DHG7"/>
    <mergeCell ref="DHH7:DHJ7"/>
    <mergeCell ref="DHK7:DHM7"/>
    <mergeCell ref="DGJ7:DGL7"/>
    <mergeCell ref="DGM7:DGO7"/>
    <mergeCell ref="DGP7:DGR7"/>
    <mergeCell ref="DGS7:DGU7"/>
    <mergeCell ref="DGV7:DGX7"/>
    <mergeCell ref="DFU7:DFW7"/>
    <mergeCell ref="DFX7:DFZ7"/>
    <mergeCell ref="DGA7:DGC7"/>
    <mergeCell ref="DGD7:DGF7"/>
    <mergeCell ref="DGG7:DGI7"/>
    <mergeCell ref="DFF7:DFH7"/>
    <mergeCell ref="DFI7:DFK7"/>
    <mergeCell ref="DFL7:DFN7"/>
    <mergeCell ref="DFO7:DFQ7"/>
    <mergeCell ref="DFR7:DFT7"/>
    <mergeCell ref="DEQ7:DES7"/>
    <mergeCell ref="DET7:DEV7"/>
    <mergeCell ref="DEW7:DEY7"/>
    <mergeCell ref="DEZ7:DFB7"/>
    <mergeCell ref="DFC7:DFE7"/>
    <mergeCell ref="DEB7:DED7"/>
    <mergeCell ref="DEE7:DEG7"/>
    <mergeCell ref="DEH7:DEJ7"/>
    <mergeCell ref="DEK7:DEM7"/>
    <mergeCell ref="DEN7:DEP7"/>
    <mergeCell ref="DDM7:DDO7"/>
    <mergeCell ref="DDP7:DDR7"/>
    <mergeCell ref="DDS7:DDU7"/>
    <mergeCell ref="DDV7:DDX7"/>
    <mergeCell ref="DDY7:DEA7"/>
    <mergeCell ref="DCX7:DCZ7"/>
    <mergeCell ref="DDA7:DDC7"/>
    <mergeCell ref="DDD7:DDF7"/>
    <mergeCell ref="DDG7:DDI7"/>
    <mergeCell ref="DDJ7:DDL7"/>
    <mergeCell ref="DCI7:DCK7"/>
    <mergeCell ref="DCL7:DCN7"/>
    <mergeCell ref="DCO7:DCQ7"/>
    <mergeCell ref="DCR7:DCT7"/>
    <mergeCell ref="DCU7:DCW7"/>
    <mergeCell ref="DBT7:DBV7"/>
    <mergeCell ref="DBW7:DBY7"/>
    <mergeCell ref="DBZ7:DCB7"/>
    <mergeCell ref="DCC7:DCE7"/>
    <mergeCell ref="DCF7:DCH7"/>
    <mergeCell ref="DBE7:DBG7"/>
    <mergeCell ref="DBH7:DBJ7"/>
    <mergeCell ref="DBK7:DBM7"/>
    <mergeCell ref="DBN7:DBP7"/>
    <mergeCell ref="DBQ7:DBS7"/>
    <mergeCell ref="DAP7:DAR7"/>
    <mergeCell ref="DAS7:DAU7"/>
    <mergeCell ref="DAV7:DAX7"/>
    <mergeCell ref="DAY7:DBA7"/>
    <mergeCell ref="DBB7:DBD7"/>
    <mergeCell ref="DAA7:DAC7"/>
    <mergeCell ref="DAD7:DAF7"/>
    <mergeCell ref="DAG7:DAI7"/>
    <mergeCell ref="DAJ7:DAL7"/>
    <mergeCell ref="DAM7:DAO7"/>
    <mergeCell ref="CZL7:CZN7"/>
    <mergeCell ref="CZO7:CZQ7"/>
    <mergeCell ref="CZR7:CZT7"/>
    <mergeCell ref="CZU7:CZW7"/>
    <mergeCell ref="CZX7:CZZ7"/>
    <mergeCell ref="CYW7:CYY7"/>
    <mergeCell ref="CYZ7:CZB7"/>
    <mergeCell ref="CZC7:CZE7"/>
    <mergeCell ref="CZF7:CZH7"/>
    <mergeCell ref="CZI7:CZK7"/>
    <mergeCell ref="CYH7:CYJ7"/>
    <mergeCell ref="CYK7:CYM7"/>
    <mergeCell ref="CYN7:CYP7"/>
    <mergeCell ref="CYQ7:CYS7"/>
    <mergeCell ref="CYT7:CYV7"/>
    <mergeCell ref="CXS7:CXU7"/>
    <mergeCell ref="CXV7:CXX7"/>
    <mergeCell ref="CXY7:CYA7"/>
    <mergeCell ref="CYB7:CYD7"/>
    <mergeCell ref="CYE7:CYG7"/>
    <mergeCell ref="CXD7:CXF7"/>
    <mergeCell ref="CXG7:CXI7"/>
    <mergeCell ref="CXJ7:CXL7"/>
    <mergeCell ref="CXM7:CXO7"/>
    <mergeCell ref="CXP7:CXR7"/>
    <mergeCell ref="CWO7:CWQ7"/>
    <mergeCell ref="CWR7:CWT7"/>
    <mergeCell ref="CWU7:CWW7"/>
    <mergeCell ref="CWX7:CWZ7"/>
    <mergeCell ref="CXA7:CXC7"/>
    <mergeCell ref="CVZ7:CWB7"/>
    <mergeCell ref="CWC7:CWE7"/>
    <mergeCell ref="CWF7:CWH7"/>
    <mergeCell ref="CWI7:CWK7"/>
    <mergeCell ref="CWL7:CWN7"/>
    <mergeCell ref="CVK7:CVM7"/>
    <mergeCell ref="CVN7:CVP7"/>
    <mergeCell ref="CVQ7:CVS7"/>
    <mergeCell ref="CVT7:CVV7"/>
    <mergeCell ref="CVW7:CVY7"/>
    <mergeCell ref="CUV7:CUX7"/>
    <mergeCell ref="CUY7:CVA7"/>
    <mergeCell ref="CVB7:CVD7"/>
    <mergeCell ref="CVE7:CVG7"/>
    <mergeCell ref="CVH7:CVJ7"/>
    <mergeCell ref="CUG7:CUI7"/>
    <mergeCell ref="CUJ7:CUL7"/>
    <mergeCell ref="CUM7:CUO7"/>
    <mergeCell ref="CUP7:CUR7"/>
    <mergeCell ref="CUS7:CUU7"/>
    <mergeCell ref="CTR7:CTT7"/>
    <mergeCell ref="CTU7:CTW7"/>
    <mergeCell ref="CTX7:CTZ7"/>
    <mergeCell ref="CUA7:CUC7"/>
    <mergeCell ref="CUD7:CUF7"/>
    <mergeCell ref="CTC7:CTE7"/>
    <mergeCell ref="CTF7:CTH7"/>
    <mergeCell ref="CTI7:CTK7"/>
    <mergeCell ref="CTL7:CTN7"/>
    <mergeCell ref="CTO7:CTQ7"/>
    <mergeCell ref="CSN7:CSP7"/>
    <mergeCell ref="CSQ7:CSS7"/>
    <mergeCell ref="CST7:CSV7"/>
    <mergeCell ref="CSW7:CSY7"/>
    <mergeCell ref="CSZ7:CTB7"/>
    <mergeCell ref="CRY7:CSA7"/>
    <mergeCell ref="CSB7:CSD7"/>
    <mergeCell ref="CSE7:CSG7"/>
    <mergeCell ref="CSH7:CSJ7"/>
    <mergeCell ref="CSK7:CSM7"/>
    <mergeCell ref="CRJ7:CRL7"/>
    <mergeCell ref="CRM7:CRO7"/>
    <mergeCell ref="CRP7:CRR7"/>
    <mergeCell ref="CRS7:CRU7"/>
    <mergeCell ref="CRV7:CRX7"/>
    <mergeCell ref="CQU7:CQW7"/>
    <mergeCell ref="CQX7:CQZ7"/>
    <mergeCell ref="CRA7:CRC7"/>
    <mergeCell ref="CRD7:CRF7"/>
    <mergeCell ref="CRG7:CRI7"/>
    <mergeCell ref="CQF7:CQH7"/>
    <mergeCell ref="CQI7:CQK7"/>
    <mergeCell ref="CQL7:CQN7"/>
    <mergeCell ref="CQO7:CQQ7"/>
    <mergeCell ref="CQR7:CQT7"/>
    <mergeCell ref="CPQ7:CPS7"/>
    <mergeCell ref="CPT7:CPV7"/>
    <mergeCell ref="CPW7:CPY7"/>
    <mergeCell ref="CPZ7:CQB7"/>
    <mergeCell ref="CQC7:CQE7"/>
    <mergeCell ref="CPB7:CPD7"/>
    <mergeCell ref="CPE7:CPG7"/>
    <mergeCell ref="CPH7:CPJ7"/>
    <mergeCell ref="CPK7:CPM7"/>
    <mergeCell ref="CPN7:CPP7"/>
    <mergeCell ref="COM7:COO7"/>
    <mergeCell ref="COP7:COR7"/>
    <mergeCell ref="COS7:COU7"/>
    <mergeCell ref="COV7:COX7"/>
    <mergeCell ref="COY7:CPA7"/>
    <mergeCell ref="CNX7:CNZ7"/>
    <mergeCell ref="COA7:COC7"/>
    <mergeCell ref="COD7:COF7"/>
    <mergeCell ref="COG7:COI7"/>
    <mergeCell ref="COJ7:COL7"/>
    <mergeCell ref="CNI7:CNK7"/>
    <mergeCell ref="CNL7:CNN7"/>
    <mergeCell ref="CNO7:CNQ7"/>
    <mergeCell ref="CNR7:CNT7"/>
    <mergeCell ref="CNU7:CNW7"/>
    <mergeCell ref="CMT7:CMV7"/>
    <mergeCell ref="CMW7:CMY7"/>
    <mergeCell ref="CMZ7:CNB7"/>
    <mergeCell ref="CNC7:CNE7"/>
    <mergeCell ref="CNF7:CNH7"/>
    <mergeCell ref="CME7:CMG7"/>
    <mergeCell ref="CMH7:CMJ7"/>
    <mergeCell ref="CMK7:CMM7"/>
    <mergeCell ref="CMN7:CMP7"/>
    <mergeCell ref="CMQ7:CMS7"/>
    <mergeCell ref="CLP7:CLR7"/>
    <mergeCell ref="CLS7:CLU7"/>
    <mergeCell ref="CLV7:CLX7"/>
    <mergeCell ref="CLY7:CMA7"/>
    <mergeCell ref="CMB7:CMD7"/>
    <mergeCell ref="CLA7:CLC7"/>
    <mergeCell ref="CLD7:CLF7"/>
    <mergeCell ref="CLG7:CLI7"/>
    <mergeCell ref="CLJ7:CLL7"/>
    <mergeCell ref="CLM7:CLO7"/>
    <mergeCell ref="CKL7:CKN7"/>
    <mergeCell ref="CKO7:CKQ7"/>
    <mergeCell ref="CKR7:CKT7"/>
    <mergeCell ref="CKU7:CKW7"/>
    <mergeCell ref="CKX7:CKZ7"/>
    <mergeCell ref="CJW7:CJY7"/>
    <mergeCell ref="CJZ7:CKB7"/>
    <mergeCell ref="CKC7:CKE7"/>
    <mergeCell ref="CKF7:CKH7"/>
    <mergeCell ref="CKI7:CKK7"/>
    <mergeCell ref="CJH7:CJJ7"/>
    <mergeCell ref="CJK7:CJM7"/>
    <mergeCell ref="CJN7:CJP7"/>
    <mergeCell ref="CJQ7:CJS7"/>
    <mergeCell ref="CJT7:CJV7"/>
    <mergeCell ref="CIS7:CIU7"/>
    <mergeCell ref="CIV7:CIX7"/>
    <mergeCell ref="CIY7:CJA7"/>
    <mergeCell ref="CJB7:CJD7"/>
    <mergeCell ref="CJE7:CJG7"/>
    <mergeCell ref="CID7:CIF7"/>
    <mergeCell ref="CIG7:CII7"/>
    <mergeCell ref="CIJ7:CIL7"/>
    <mergeCell ref="CIM7:CIO7"/>
    <mergeCell ref="CIP7:CIR7"/>
    <mergeCell ref="CHO7:CHQ7"/>
    <mergeCell ref="CHR7:CHT7"/>
    <mergeCell ref="CHU7:CHW7"/>
    <mergeCell ref="CHX7:CHZ7"/>
    <mergeCell ref="CIA7:CIC7"/>
    <mergeCell ref="CGZ7:CHB7"/>
    <mergeCell ref="CHC7:CHE7"/>
    <mergeCell ref="CHF7:CHH7"/>
    <mergeCell ref="CHI7:CHK7"/>
    <mergeCell ref="CHL7:CHN7"/>
    <mergeCell ref="CGK7:CGM7"/>
    <mergeCell ref="CGN7:CGP7"/>
    <mergeCell ref="CGQ7:CGS7"/>
    <mergeCell ref="CGT7:CGV7"/>
    <mergeCell ref="CGW7:CGY7"/>
    <mergeCell ref="CFV7:CFX7"/>
    <mergeCell ref="CFY7:CGA7"/>
    <mergeCell ref="CGB7:CGD7"/>
    <mergeCell ref="CGE7:CGG7"/>
    <mergeCell ref="CGH7:CGJ7"/>
    <mergeCell ref="CFG7:CFI7"/>
    <mergeCell ref="CFJ7:CFL7"/>
    <mergeCell ref="CFM7:CFO7"/>
    <mergeCell ref="CFP7:CFR7"/>
    <mergeCell ref="CFS7:CFU7"/>
    <mergeCell ref="CER7:CET7"/>
    <mergeCell ref="CEU7:CEW7"/>
    <mergeCell ref="CEX7:CEZ7"/>
    <mergeCell ref="CFA7:CFC7"/>
    <mergeCell ref="CFD7:CFF7"/>
    <mergeCell ref="CEC7:CEE7"/>
    <mergeCell ref="CEF7:CEH7"/>
    <mergeCell ref="CEI7:CEK7"/>
    <mergeCell ref="CEL7:CEN7"/>
    <mergeCell ref="CEO7:CEQ7"/>
    <mergeCell ref="CDN7:CDP7"/>
    <mergeCell ref="CDQ7:CDS7"/>
    <mergeCell ref="CDT7:CDV7"/>
    <mergeCell ref="CDW7:CDY7"/>
    <mergeCell ref="CDZ7:CEB7"/>
    <mergeCell ref="CCY7:CDA7"/>
    <mergeCell ref="CDB7:CDD7"/>
    <mergeCell ref="CDE7:CDG7"/>
    <mergeCell ref="CDH7:CDJ7"/>
    <mergeCell ref="CDK7:CDM7"/>
    <mergeCell ref="CCJ7:CCL7"/>
    <mergeCell ref="CCM7:CCO7"/>
    <mergeCell ref="CCP7:CCR7"/>
    <mergeCell ref="CCS7:CCU7"/>
    <mergeCell ref="CCV7:CCX7"/>
    <mergeCell ref="CBU7:CBW7"/>
    <mergeCell ref="CBX7:CBZ7"/>
    <mergeCell ref="CCA7:CCC7"/>
    <mergeCell ref="CCD7:CCF7"/>
    <mergeCell ref="CCG7:CCI7"/>
    <mergeCell ref="CBF7:CBH7"/>
    <mergeCell ref="CBI7:CBK7"/>
    <mergeCell ref="CBL7:CBN7"/>
    <mergeCell ref="CBO7:CBQ7"/>
    <mergeCell ref="CBR7:CBT7"/>
    <mergeCell ref="CAQ7:CAS7"/>
    <mergeCell ref="CAT7:CAV7"/>
    <mergeCell ref="CAW7:CAY7"/>
    <mergeCell ref="CAZ7:CBB7"/>
    <mergeCell ref="CBC7:CBE7"/>
    <mergeCell ref="CAB7:CAD7"/>
    <mergeCell ref="CAE7:CAG7"/>
    <mergeCell ref="CAH7:CAJ7"/>
    <mergeCell ref="CAK7:CAM7"/>
    <mergeCell ref="CAN7:CAP7"/>
    <mergeCell ref="BZM7:BZO7"/>
    <mergeCell ref="BZP7:BZR7"/>
    <mergeCell ref="BZS7:BZU7"/>
    <mergeCell ref="BZV7:BZX7"/>
    <mergeCell ref="BZY7:CAA7"/>
    <mergeCell ref="BYX7:BYZ7"/>
    <mergeCell ref="BZA7:BZC7"/>
    <mergeCell ref="BZD7:BZF7"/>
    <mergeCell ref="BZG7:BZI7"/>
    <mergeCell ref="BZJ7:BZL7"/>
    <mergeCell ref="BYI7:BYK7"/>
    <mergeCell ref="BYL7:BYN7"/>
    <mergeCell ref="BYO7:BYQ7"/>
    <mergeCell ref="BYR7:BYT7"/>
    <mergeCell ref="BYU7:BYW7"/>
    <mergeCell ref="BXT7:BXV7"/>
    <mergeCell ref="BXW7:BXY7"/>
    <mergeCell ref="BXZ7:BYB7"/>
    <mergeCell ref="BYC7:BYE7"/>
    <mergeCell ref="BYF7:BYH7"/>
    <mergeCell ref="BXE7:BXG7"/>
    <mergeCell ref="BXH7:BXJ7"/>
    <mergeCell ref="BXK7:BXM7"/>
    <mergeCell ref="BXN7:BXP7"/>
    <mergeCell ref="BXQ7:BXS7"/>
    <mergeCell ref="BWP7:BWR7"/>
    <mergeCell ref="BWS7:BWU7"/>
    <mergeCell ref="BWV7:BWX7"/>
    <mergeCell ref="BWY7:BXA7"/>
    <mergeCell ref="BXB7:BXD7"/>
    <mergeCell ref="BWA7:BWC7"/>
    <mergeCell ref="BWD7:BWF7"/>
    <mergeCell ref="BWG7:BWI7"/>
    <mergeCell ref="BWJ7:BWL7"/>
    <mergeCell ref="BWM7:BWO7"/>
    <mergeCell ref="BVL7:BVN7"/>
    <mergeCell ref="BVO7:BVQ7"/>
    <mergeCell ref="BVR7:BVT7"/>
    <mergeCell ref="BVU7:BVW7"/>
    <mergeCell ref="BVX7:BVZ7"/>
    <mergeCell ref="BUW7:BUY7"/>
    <mergeCell ref="BUZ7:BVB7"/>
    <mergeCell ref="BVC7:BVE7"/>
    <mergeCell ref="BVF7:BVH7"/>
    <mergeCell ref="BVI7:BVK7"/>
    <mergeCell ref="BUH7:BUJ7"/>
    <mergeCell ref="BUK7:BUM7"/>
    <mergeCell ref="BUN7:BUP7"/>
    <mergeCell ref="BUQ7:BUS7"/>
    <mergeCell ref="BUT7:BUV7"/>
    <mergeCell ref="BTS7:BTU7"/>
    <mergeCell ref="BTV7:BTX7"/>
    <mergeCell ref="BTY7:BUA7"/>
    <mergeCell ref="BUB7:BUD7"/>
    <mergeCell ref="BUE7:BUG7"/>
    <mergeCell ref="BTD7:BTF7"/>
    <mergeCell ref="BTG7:BTI7"/>
    <mergeCell ref="BTJ7:BTL7"/>
    <mergeCell ref="BTM7:BTO7"/>
    <mergeCell ref="BTP7:BTR7"/>
    <mergeCell ref="BSO7:BSQ7"/>
    <mergeCell ref="BSR7:BST7"/>
    <mergeCell ref="BSU7:BSW7"/>
    <mergeCell ref="BSX7:BSZ7"/>
    <mergeCell ref="BTA7:BTC7"/>
    <mergeCell ref="BRZ7:BSB7"/>
    <mergeCell ref="BSC7:BSE7"/>
    <mergeCell ref="BSF7:BSH7"/>
    <mergeCell ref="BSI7:BSK7"/>
    <mergeCell ref="BSL7:BSN7"/>
    <mergeCell ref="BRK7:BRM7"/>
    <mergeCell ref="BRN7:BRP7"/>
    <mergeCell ref="BRQ7:BRS7"/>
    <mergeCell ref="BRT7:BRV7"/>
    <mergeCell ref="BRW7:BRY7"/>
    <mergeCell ref="BQV7:BQX7"/>
    <mergeCell ref="BQY7:BRA7"/>
    <mergeCell ref="BRB7:BRD7"/>
    <mergeCell ref="BRE7:BRG7"/>
    <mergeCell ref="BRH7:BRJ7"/>
    <mergeCell ref="BQG7:BQI7"/>
    <mergeCell ref="BQJ7:BQL7"/>
    <mergeCell ref="BQM7:BQO7"/>
    <mergeCell ref="BQP7:BQR7"/>
    <mergeCell ref="BQS7:BQU7"/>
    <mergeCell ref="BPR7:BPT7"/>
    <mergeCell ref="BPU7:BPW7"/>
    <mergeCell ref="BPX7:BPZ7"/>
    <mergeCell ref="BQA7:BQC7"/>
    <mergeCell ref="BQD7:BQF7"/>
    <mergeCell ref="BPC7:BPE7"/>
    <mergeCell ref="BPF7:BPH7"/>
    <mergeCell ref="BPI7:BPK7"/>
    <mergeCell ref="BPL7:BPN7"/>
    <mergeCell ref="BPO7:BPQ7"/>
    <mergeCell ref="BON7:BOP7"/>
    <mergeCell ref="BOQ7:BOS7"/>
    <mergeCell ref="BOT7:BOV7"/>
    <mergeCell ref="BOW7:BOY7"/>
    <mergeCell ref="BOZ7:BPB7"/>
    <mergeCell ref="BNY7:BOA7"/>
    <mergeCell ref="BOB7:BOD7"/>
    <mergeCell ref="BOE7:BOG7"/>
    <mergeCell ref="BOH7:BOJ7"/>
    <mergeCell ref="BOK7:BOM7"/>
    <mergeCell ref="BNJ7:BNL7"/>
    <mergeCell ref="BNM7:BNO7"/>
    <mergeCell ref="BNP7:BNR7"/>
    <mergeCell ref="BNS7:BNU7"/>
    <mergeCell ref="BNV7:BNX7"/>
    <mergeCell ref="BMU7:BMW7"/>
    <mergeCell ref="BMX7:BMZ7"/>
    <mergeCell ref="BNA7:BNC7"/>
    <mergeCell ref="BND7:BNF7"/>
    <mergeCell ref="BNG7:BNI7"/>
    <mergeCell ref="BMF7:BMH7"/>
    <mergeCell ref="BMI7:BMK7"/>
    <mergeCell ref="BML7:BMN7"/>
    <mergeCell ref="BMO7:BMQ7"/>
    <mergeCell ref="BMR7:BMT7"/>
    <mergeCell ref="BLQ7:BLS7"/>
    <mergeCell ref="BLT7:BLV7"/>
    <mergeCell ref="BLW7:BLY7"/>
    <mergeCell ref="BLZ7:BMB7"/>
    <mergeCell ref="BMC7:BME7"/>
    <mergeCell ref="BLB7:BLD7"/>
    <mergeCell ref="BLE7:BLG7"/>
    <mergeCell ref="BLH7:BLJ7"/>
    <mergeCell ref="BLK7:BLM7"/>
    <mergeCell ref="BLN7:BLP7"/>
    <mergeCell ref="BKM7:BKO7"/>
    <mergeCell ref="BKP7:BKR7"/>
    <mergeCell ref="BKS7:BKU7"/>
    <mergeCell ref="BKV7:BKX7"/>
    <mergeCell ref="BKY7:BLA7"/>
    <mergeCell ref="BJX7:BJZ7"/>
    <mergeCell ref="BKA7:BKC7"/>
    <mergeCell ref="BKD7:BKF7"/>
    <mergeCell ref="BKG7:BKI7"/>
    <mergeCell ref="BKJ7:BKL7"/>
    <mergeCell ref="BJI7:BJK7"/>
    <mergeCell ref="BJL7:BJN7"/>
    <mergeCell ref="BJO7:BJQ7"/>
    <mergeCell ref="BJR7:BJT7"/>
    <mergeCell ref="BJU7:BJW7"/>
    <mergeCell ref="BIT7:BIV7"/>
    <mergeCell ref="BIW7:BIY7"/>
    <mergeCell ref="BIZ7:BJB7"/>
    <mergeCell ref="BJC7:BJE7"/>
    <mergeCell ref="BJF7:BJH7"/>
    <mergeCell ref="BIE7:BIG7"/>
    <mergeCell ref="BIH7:BIJ7"/>
    <mergeCell ref="BIK7:BIM7"/>
    <mergeCell ref="BIN7:BIP7"/>
    <mergeCell ref="BIQ7:BIS7"/>
    <mergeCell ref="BHP7:BHR7"/>
    <mergeCell ref="BHS7:BHU7"/>
    <mergeCell ref="BHV7:BHX7"/>
    <mergeCell ref="BHY7:BIA7"/>
    <mergeCell ref="BIB7:BID7"/>
    <mergeCell ref="BHA7:BHC7"/>
    <mergeCell ref="BHD7:BHF7"/>
    <mergeCell ref="BHG7:BHI7"/>
    <mergeCell ref="BHJ7:BHL7"/>
    <mergeCell ref="BHM7:BHO7"/>
    <mergeCell ref="BGL7:BGN7"/>
    <mergeCell ref="BGO7:BGQ7"/>
    <mergeCell ref="BGR7:BGT7"/>
    <mergeCell ref="BGU7:BGW7"/>
    <mergeCell ref="BGX7:BGZ7"/>
    <mergeCell ref="BFW7:BFY7"/>
    <mergeCell ref="BFZ7:BGB7"/>
    <mergeCell ref="BGC7:BGE7"/>
    <mergeCell ref="BGF7:BGH7"/>
    <mergeCell ref="BGI7:BGK7"/>
    <mergeCell ref="BFH7:BFJ7"/>
    <mergeCell ref="BFK7:BFM7"/>
    <mergeCell ref="BFN7:BFP7"/>
    <mergeCell ref="BFQ7:BFS7"/>
    <mergeCell ref="BFT7:BFV7"/>
    <mergeCell ref="BES7:BEU7"/>
    <mergeCell ref="BEV7:BEX7"/>
    <mergeCell ref="BEY7:BFA7"/>
    <mergeCell ref="BFB7:BFD7"/>
    <mergeCell ref="BFE7:BFG7"/>
    <mergeCell ref="BED7:BEF7"/>
    <mergeCell ref="BEG7:BEI7"/>
    <mergeCell ref="BEJ7:BEL7"/>
    <mergeCell ref="BEM7:BEO7"/>
    <mergeCell ref="BEP7:BER7"/>
    <mergeCell ref="BDO7:BDQ7"/>
    <mergeCell ref="BDR7:BDT7"/>
    <mergeCell ref="BDU7:BDW7"/>
    <mergeCell ref="BDX7:BDZ7"/>
    <mergeCell ref="BEA7:BEC7"/>
    <mergeCell ref="BCZ7:BDB7"/>
    <mergeCell ref="BDC7:BDE7"/>
    <mergeCell ref="BDF7:BDH7"/>
    <mergeCell ref="BDI7:BDK7"/>
    <mergeCell ref="BDL7:BDN7"/>
    <mergeCell ref="BCK7:BCM7"/>
    <mergeCell ref="BCN7:BCP7"/>
    <mergeCell ref="BCQ7:BCS7"/>
    <mergeCell ref="BCT7:BCV7"/>
    <mergeCell ref="BCW7:BCY7"/>
    <mergeCell ref="BBV7:BBX7"/>
    <mergeCell ref="BBY7:BCA7"/>
    <mergeCell ref="BCB7:BCD7"/>
    <mergeCell ref="BCE7:BCG7"/>
    <mergeCell ref="BCH7:BCJ7"/>
    <mergeCell ref="BBG7:BBI7"/>
    <mergeCell ref="BBJ7:BBL7"/>
    <mergeCell ref="BBM7:BBO7"/>
    <mergeCell ref="BBP7:BBR7"/>
    <mergeCell ref="BBS7:BBU7"/>
    <mergeCell ref="BAR7:BAT7"/>
    <mergeCell ref="BAU7:BAW7"/>
    <mergeCell ref="BAX7:BAZ7"/>
    <mergeCell ref="BBA7:BBC7"/>
    <mergeCell ref="BBD7:BBF7"/>
    <mergeCell ref="BAC7:BAE7"/>
    <mergeCell ref="BAF7:BAH7"/>
    <mergeCell ref="BAI7:BAK7"/>
    <mergeCell ref="BAL7:BAN7"/>
    <mergeCell ref="BAO7:BAQ7"/>
    <mergeCell ref="AZN7:AZP7"/>
    <mergeCell ref="AZQ7:AZS7"/>
    <mergeCell ref="AZT7:AZV7"/>
    <mergeCell ref="AZW7:AZY7"/>
    <mergeCell ref="AZZ7:BAB7"/>
    <mergeCell ref="AYY7:AZA7"/>
    <mergeCell ref="AZB7:AZD7"/>
    <mergeCell ref="AZE7:AZG7"/>
    <mergeCell ref="AZH7:AZJ7"/>
    <mergeCell ref="AZK7:AZM7"/>
    <mergeCell ref="AYJ7:AYL7"/>
    <mergeCell ref="AYM7:AYO7"/>
    <mergeCell ref="AYP7:AYR7"/>
    <mergeCell ref="AYS7:AYU7"/>
    <mergeCell ref="AYV7:AYX7"/>
    <mergeCell ref="AXU7:AXW7"/>
    <mergeCell ref="AXX7:AXZ7"/>
    <mergeCell ref="AYA7:AYC7"/>
    <mergeCell ref="AYD7:AYF7"/>
    <mergeCell ref="AYG7:AYI7"/>
    <mergeCell ref="AXF7:AXH7"/>
    <mergeCell ref="AXI7:AXK7"/>
    <mergeCell ref="AXL7:AXN7"/>
    <mergeCell ref="AXO7:AXQ7"/>
    <mergeCell ref="AXR7:AXT7"/>
    <mergeCell ref="AWQ7:AWS7"/>
    <mergeCell ref="AWT7:AWV7"/>
    <mergeCell ref="AWW7:AWY7"/>
    <mergeCell ref="AWZ7:AXB7"/>
    <mergeCell ref="AXC7:AXE7"/>
    <mergeCell ref="AWB7:AWD7"/>
    <mergeCell ref="AWE7:AWG7"/>
    <mergeCell ref="AWH7:AWJ7"/>
    <mergeCell ref="AWK7:AWM7"/>
    <mergeCell ref="AWN7:AWP7"/>
    <mergeCell ref="AVM7:AVO7"/>
    <mergeCell ref="AVP7:AVR7"/>
    <mergeCell ref="AVS7:AVU7"/>
    <mergeCell ref="AVV7:AVX7"/>
    <mergeCell ref="AVY7:AWA7"/>
    <mergeCell ref="AUX7:AUZ7"/>
    <mergeCell ref="AVA7:AVC7"/>
    <mergeCell ref="AVD7:AVF7"/>
    <mergeCell ref="AVG7:AVI7"/>
    <mergeCell ref="AVJ7:AVL7"/>
    <mergeCell ref="AUI7:AUK7"/>
    <mergeCell ref="AUL7:AUN7"/>
    <mergeCell ref="AUO7:AUQ7"/>
    <mergeCell ref="AUR7:AUT7"/>
    <mergeCell ref="AUU7:AUW7"/>
    <mergeCell ref="ATT7:ATV7"/>
    <mergeCell ref="ATW7:ATY7"/>
    <mergeCell ref="ATZ7:AUB7"/>
    <mergeCell ref="AUC7:AUE7"/>
    <mergeCell ref="AUF7:AUH7"/>
    <mergeCell ref="ATE7:ATG7"/>
    <mergeCell ref="ATH7:ATJ7"/>
    <mergeCell ref="ATK7:ATM7"/>
    <mergeCell ref="ATN7:ATP7"/>
    <mergeCell ref="ATQ7:ATS7"/>
    <mergeCell ref="ASP7:ASR7"/>
    <mergeCell ref="ASS7:ASU7"/>
    <mergeCell ref="ASV7:ASX7"/>
    <mergeCell ref="ASY7:ATA7"/>
    <mergeCell ref="ATB7:ATD7"/>
    <mergeCell ref="ASA7:ASC7"/>
    <mergeCell ref="ASD7:ASF7"/>
    <mergeCell ref="ASG7:ASI7"/>
    <mergeCell ref="ASJ7:ASL7"/>
    <mergeCell ref="ASM7:ASO7"/>
    <mergeCell ref="ARL7:ARN7"/>
    <mergeCell ref="ARO7:ARQ7"/>
    <mergeCell ref="ARR7:ART7"/>
    <mergeCell ref="ARU7:ARW7"/>
    <mergeCell ref="ARX7:ARZ7"/>
    <mergeCell ref="AQW7:AQY7"/>
    <mergeCell ref="AQZ7:ARB7"/>
    <mergeCell ref="ARC7:ARE7"/>
    <mergeCell ref="ARF7:ARH7"/>
    <mergeCell ref="ARI7:ARK7"/>
    <mergeCell ref="AQH7:AQJ7"/>
    <mergeCell ref="AQK7:AQM7"/>
    <mergeCell ref="AQN7:AQP7"/>
    <mergeCell ref="AQQ7:AQS7"/>
    <mergeCell ref="AQT7:AQV7"/>
    <mergeCell ref="APS7:APU7"/>
    <mergeCell ref="APV7:APX7"/>
    <mergeCell ref="APY7:AQA7"/>
    <mergeCell ref="AQB7:AQD7"/>
    <mergeCell ref="AQE7:AQG7"/>
    <mergeCell ref="APD7:APF7"/>
    <mergeCell ref="APG7:API7"/>
    <mergeCell ref="APJ7:APL7"/>
    <mergeCell ref="APM7:APO7"/>
    <mergeCell ref="APP7:APR7"/>
    <mergeCell ref="AOO7:AOQ7"/>
    <mergeCell ref="AOR7:AOT7"/>
    <mergeCell ref="AOU7:AOW7"/>
    <mergeCell ref="AOX7:AOZ7"/>
    <mergeCell ref="APA7:APC7"/>
    <mergeCell ref="ANZ7:AOB7"/>
    <mergeCell ref="AOC7:AOE7"/>
    <mergeCell ref="AOF7:AOH7"/>
    <mergeCell ref="AOI7:AOK7"/>
    <mergeCell ref="AOL7:AON7"/>
    <mergeCell ref="ANK7:ANM7"/>
    <mergeCell ref="ANN7:ANP7"/>
    <mergeCell ref="ANQ7:ANS7"/>
    <mergeCell ref="ANT7:ANV7"/>
    <mergeCell ref="ANW7:ANY7"/>
    <mergeCell ref="AMV7:AMX7"/>
    <mergeCell ref="AMY7:ANA7"/>
    <mergeCell ref="ANB7:AND7"/>
    <mergeCell ref="ANE7:ANG7"/>
    <mergeCell ref="ANH7:ANJ7"/>
    <mergeCell ref="AMG7:AMI7"/>
    <mergeCell ref="AMJ7:AML7"/>
    <mergeCell ref="AMM7:AMO7"/>
    <mergeCell ref="AMP7:AMR7"/>
    <mergeCell ref="AMS7:AMU7"/>
    <mergeCell ref="ALR7:ALT7"/>
    <mergeCell ref="ALU7:ALW7"/>
    <mergeCell ref="ALX7:ALZ7"/>
    <mergeCell ref="AMA7:AMC7"/>
    <mergeCell ref="AMD7:AMF7"/>
    <mergeCell ref="ALC7:ALE7"/>
    <mergeCell ref="ALF7:ALH7"/>
    <mergeCell ref="ALI7:ALK7"/>
    <mergeCell ref="ALL7:ALN7"/>
    <mergeCell ref="ALO7:ALQ7"/>
    <mergeCell ref="AKN7:AKP7"/>
    <mergeCell ref="AKQ7:AKS7"/>
    <mergeCell ref="AKT7:AKV7"/>
    <mergeCell ref="AKW7:AKY7"/>
    <mergeCell ref="AKZ7:ALB7"/>
    <mergeCell ref="AJY7:AKA7"/>
    <mergeCell ref="AKB7:AKD7"/>
    <mergeCell ref="AKE7:AKG7"/>
    <mergeCell ref="AKH7:AKJ7"/>
    <mergeCell ref="AKK7:AKM7"/>
    <mergeCell ref="AJJ7:AJL7"/>
    <mergeCell ref="AJM7:AJO7"/>
    <mergeCell ref="AJP7:AJR7"/>
    <mergeCell ref="AJS7:AJU7"/>
    <mergeCell ref="AJV7:AJX7"/>
    <mergeCell ref="AIU7:AIW7"/>
    <mergeCell ref="AIX7:AIZ7"/>
    <mergeCell ref="AJA7:AJC7"/>
    <mergeCell ref="AJD7:AJF7"/>
    <mergeCell ref="AJG7:AJI7"/>
    <mergeCell ref="AIF7:AIH7"/>
    <mergeCell ref="AII7:AIK7"/>
    <mergeCell ref="AIL7:AIN7"/>
    <mergeCell ref="AIO7:AIQ7"/>
    <mergeCell ref="AIR7:AIT7"/>
    <mergeCell ref="AHQ7:AHS7"/>
    <mergeCell ref="AHT7:AHV7"/>
    <mergeCell ref="AHW7:AHY7"/>
    <mergeCell ref="AHZ7:AIB7"/>
    <mergeCell ref="AIC7:AIE7"/>
    <mergeCell ref="AHB7:AHD7"/>
    <mergeCell ref="AHE7:AHG7"/>
    <mergeCell ref="AHH7:AHJ7"/>
    <mergeCell ref="AHK7:AHM7"/>
    <mergeCell ref="AHN7:AHP7"/>
    <mergeCell ref="AGM7:AGO7"/>
    <mergeCell ref="AGP7:AGR7"/>
    <mergeCell ref="AGS7:AGU7"/>
    <mergeCell ref="AGV7:AGX7"/>
    <mergeCell ref="AGY7:AHA7"/>
    <mergeCell ref="AFX7:AFZ7"/>
    <mergeCell ref="AGA7:AGC7"/>
    <mergeCell ref="AGD7:AGF7"/>
    <mergeCell ref="AGG7:AGI7"/>
    <mergeCell ref="AGJ7:AGL7"/>
    <mergeCell ref="AFI7:AFK7"/>
    <mergeCell ref="AFL7:AFN7"/>
    <mergeCell ref="AFO7:AFQ7"/>
    <mergeCell ref="AFR7:AFT7"/>
    <mergeCell ref="AFU7:AFW7"/>
    <mergeCell ref="AET7:AEV7"/>
    <mergeCell ref="AEW7:AEY7"/>
    <mergeCell ref="AEZ7:AFB7"/>
    <mergeCell ref="AFC7:AFE7"/>
    <mergeCell ref="AFF7:AFH7"/>
    <mergeCell ref="AEE7:AEG7"/>
    <mergeCell ref="AEH7:AEJ7"/>
    <mergeCell ref="AEK7:AEM7"/>
    <mergeCell ref="AEN7:AEP7"/>
    <mergeCell ref="AEQ7:AES7"/>
    <mergeCell ref="ADP7:ADR7"/>
    <mergeCell ref="ADS7:ADU7"/>
    <mergeCell ref="ADV7:ADX7"/>
    <mergeCell ref="ADY7:AEA7"/>
    <mergeCell ref="AEB7:AED7"/>
    <mergeCell ref="ADA7:ADC7"/>
    <mergeCell ref="ADD7:ADF7"/>
    <mergeCell ref="ADG7:ADI7"/>
    <mergeCell ref="ADJ7:ADL7"/>
    <mergeCell ref="ADM7:ADO7"/>
    <mergeCell ref="ACL7:ACN7"/>
    <mergeCell ref="ACO7:ACQ7"/>
    <mergeCell ref="ACR7:ACT7"/>
    <mergeCell ref="ACU7:ACW7"/>
    <mergeCell ref="ACX7:ACZ7"/>
    <mergeCell ref="ABW7:ABY7"/>
    <mergeCell ref="ABZ7:ACB7"/>
    <mergeCell ref="ACC7:ACE7"/>
    <mergeCell ref="ACF7:ACH7"/>
    <mergeCell ref="ACI7:ACK7"/>
    <mergeCell ref="ABH7:ABJ7"/>
    <mergeCell ref="ABK7:ABM7"/>
    <mergeCell ref="ABN7:ABP7"/>
    <mergeCell ref="ABQ7:ABS7"/>
    <mergeCell ref="ABT7:ABV7"/>
    <mergeCell ref="AAS7:AAU7"/>
    <mergeCell ref="AAV7:AAX7"/>
    <mergeCell ref="AAY7:ABA7"/>
    <mergeCell ref="ABB7:ABD7"/>
    <mergeCell ref="ABE7:ABG7"/>
    <mergeCell ref="AAD7:AAF7"/>
    <mergeCell ref="AAG7:AAI7"/>
    <mergeCell ref="AAJ7:AAL7"/>
    <mergeCell ref="AAM7:AAO7"/>
    <mergeCell ref="AAP7:AAR7"/>
    <mergeCell ref="ZO7:ZQ7"/>
    <mergeCell ref="ZR7:ZT7"/>
    <mergeCell ref="ZU7:ZW7"/>
    <mergeCell ref="ZX7:ZZ7"/>
    <mergeCell ref="AAA7:AAC7"/>
    <mergeCell ref="YZ7:ZB7"/>
    <mergeCell ref="ZC7:ZE7"/>
    <mergeCell ref="ZF7:ZH7"/>
    <mergeCell ref="ZI7:ZK7"/>
    <mergeCell ref="ZL7:ZN7"/>
    <mergeCell ref="YK7:YM7"/>
    <mergeCell ref="YN7:YP7"/>
    <mergeCell ref="YQ7:YS7"/>
    <mergeCell ref="YT7:YV7"/>
    <mergeCell ref="YW7:YY7"/>
    <mergeCell ref="XV7:XX7"/>
    <mergeCell ref="XY7:YA7"/>
    <mergeCell ref="YB7:YD7"/>
    <mergeCell ref="YE7:YG7"/>
    <mergeCell ref="YH7:YJ7"/>
    <mergeCell ref="XG7:XI7"/>
    <mergeCell ref="XJ7:XL7"/>
    <mergeCell ref="XM7:XO7"/>
    <mergeCell ref="XP7:XR7"/>
    <mergeCell ref="XS7:XU7"/>
    <mergeCell ref="WR7:WT7"/>
    <mergeCell ref="WU7:WW7"/>
    <mergeCell ref="WX7:WZ7"/>
    <mergeCell ref="XA7:XC7"/>
    <mergeCell ref="XD7:XF7"/>
    <mergeCell ref="WC7:WE7"/>
    <mergeCell ref="WF7:WH7"/>
    <mergeCell ref="WI7:WK7"/>
    <mergeCell ref="WL7:WN7"/>
    <mergeCell ref="WO7:WQ7"/>
    <mergeCell ref="VN7:VP7"/>
    <mergeCell ref="VQ7:VS7"/>
    <mergeCell ref="VT7:VV7"/>
    <mergeCell ref="VW7:VY7"/>
    <mergeCell ref="VZ7:WB7"/>
    <mergeCell ref="UY7:VA7"/>
    <mergeCell ref="VB7:VD7"/>
    <mergeCell ref="VE7:VG7"/>
    <mergeCell ref="VH7:VJ7"/>
    <mergeCell ref="VK7:VM7"/>
    <mergeCell ref="UJ7:UL7"/>
    <mergeCell ref="UM7:UO7"/>
    <mergeCell ref="UP7:UR7"/>
    <mergeCell ref="US7:UU7"/>
    <mergeCell ref="UV7:UX7"/>
    <mergeCell ref="TU7:TW7"/>
    <mergeCell ref="TX7:TZ7"/>
    <mergeCell ref="UA7:UC7"/>
    <mergeCell ref="UD7:UF7"/>
    <mergeCell ref="UG7:UI7"/>
    <mergeCell ref="TF7:TH7"/>
    <mergeCell ref="TI7:TK7"/>
    <mergeCell ref="TL7:TN7"/>
    <mergeCell ref="TO7:TQ7"/>
    <mergeCell ref="TR7:TT7"/>
    <mergeCell ref="SQ7:SS7"/>
    <mergeCell ref="ST7:SV7"/>
    <mergeCell ref="SW7:SY7"/>
    <mergeCell ref="SZ7:TB7"/>
    <mergeCell ref="TC7:TE7"/>
    <mergeCell ref="SB7:SD7"/>
    <mergeCell ref="SE7:SG7"/>
    <mergeCell ref="SH7:SJ7"/>
    <mergeCell ref="SK7:SM7"/>
    <mergeCell ref="SN7:SP7"/>
    <mergeCell ref="RM7:RO7"/>
    <mergeCell ref="RP7:RR7"/>
    <mergeCell ref="RS7:RU7"/>
    <mergeCell ref="RV7:RX7"/>
    <mergeCell ref="RY7:SA7"/>
    <mergeCell ref="QX7:QZ7"/>
    <mergeCell ref="RA7:RC7"/>
    <mergeCell ref="RD7:RF7"/>
    <mergeCell ref="RG7:RI7"/>
    <mergeCell ref="RJ7:RL7"/>
    <mergeCell ref="QI7:QK7"/>
    <mergeCell ref="QL7:QN7"/>
    <mergeCell ref="QO7:QQ7"/>
    <mergeCell ref="QR7:QT7"/>
    <mergeCell ref="QU7:QW7"/>
    <mergeCell ref="PT7:PV7"/>
    <mergeCell ref="PW7:PY7"/>
    <mergeCell ref="PZ7:QB7"/>
    <mergeCell ref="QC7:QE7"/>
    <mergeCell ref="QF7:QH7"/>
    <mergeCell ref="PE7:PG7"/>
    <mergeCell ref="PH7:PJ7"/>
    <mergeCell ref="PK7:PM7"/>
    <mergeCell ref="PN7:PP7"/>
    <mergeCell ref="PQ7:PS7"/>
    <mergeCell ref="OP7:OR7"/>
    <mergeCell ref="OS7:OU7"/>
    <mergeCell ref="OV7:OX7"/>
    <mergeCell ref="OY7:PA7"/>
    <mergeCell ref="PB7:PD7"/>
    <mergeCell ref="OA7:OC7"/>
    <mergeCell ref="OD7:OF7"/>
    <mergeCell ref="OG7:OI7"/>
    <mergeCell ref="OJ7:OL7"/>
    <mergeCell ref="OM7:OO7"/>
    <mergeCell ref="NL7:NN7"/>
    <mergeCell ref="NO7:NQ7"/>
    <mergeCell ref="NR7:NT7"/>
    <mergeCell ref="NU7:NW7"/>
    <mergeCell ref="NX7:NZ7"/>
    <mergeCell ref="MW7:MY7"/>
    <mergeCell ref="MZ7:NB7"/>
    <mergeCell ref="NC7:NE7"/>
    <mergeCell ref="NF7:NH7"/>
    <mergeCell ref="NI7:NK7"/>
    <mergeCell ref="MH7:MJ7"/>
    <mergeCell ref="MK7:MM7"/>
    <mergeCell ref="MN7:MP7"/>
    <mergeCell ref="MQ7:MS7"/>
    <mergeCell ref="MT7:MV7"/>
    <mergeCell ref="LS7:LU7"/>
    <mergeCell ref="LV7:LX7"/>
    <mergeCell ref="LY7:MA7"/>
    <mergeCell ref="MB7:MD7"/>
    <mergeCell ref="ME7:MG7"/>
    <mergeCell ref="LD7:LF7"/>
    <mergeCell ref="LG7:LI7"/>
    <mergeCell ref="LJ7:LL7"/>
    <mergeCell ref="LM7:LO7"/>
    <mergeCell ref="LP7:LR7"/>
    <mergeCell ref="KO7:KQ7"/>
    <mergeCell ref="KR7:KT7"/>
    <mergeCell ref="KU7:KW7"/>
    <mergeCell ref="KX7:KZ7"/>
    <mergeCell ref="LA7:LC7"/>
    <mergeCell ref="JZ7:KB7"/>
    <mergeCell ref="KC7:KE7"/>
    <mergeCell ref="KF7:KH7"/>
    <mergeCell ref="KI7:KK7"/>
    <mergeCell ref="KL7:KN7"/>
    <mergeCell ref="JK7:JM7"/>
    <mergeCell ref="JN7:JP7"/>
    <mergeCell ref="JQ7:JS7"/>
    <mergeCell ref="JT7:JV7"/>
    <mergeCell ref="JW7:JY7"/>
    <mergeCell ref="IV7:IX7"/>
    <mergeCell ref="IY7:JA7"/>
    <mergeCell ref="JB7:JD7"/>
    <mergeCell ref="JE7:JG7"/>
    <mergeCell ref="JH7:JJ7"/>
    <mergeCell ref="IG7:II7"/>
    <mergeCell ref="IJ7:IL7"/>
    <mergeCell ref="IM7:IO7"/>
    <mergeCell ref="IP7:IR7"/>
    <mergeCell ref="IS7:IU7"/>
    <mergeCell ref="HR7:HT7"/>
    <mergeCell ref="HU7:HW7"/>
    <mergeCell ref="HX7:HZ7"/>
    <mergeCell ref="IA7:IC7"/>
    <mergeCell ref="ID7:IF7"/>
    <mergeCell ref="HC7:HE7"/>
    <mergeCell ref="HF7:HH7"/>
    <mergeCell ref="HI7:HK7"/>
    <mergeCell ref="HL7:HN7"/>
    <mergeCell ref="HO7:HQ7"/>
    <mergeCell ref="GN7:GP7"/>
    <mergeCell ref="GQ7:GS7"/>
    <mergeCell ref="GT7:GV7"/>
    <mergeCell ref="GW7:GY7"/>
    <mergeCell ref="GZ7:HB7"/>
    <mergeCell ref="FY7:GA7"/>
    <mergeCell ref="GB7:GD7"/>
    <mergeCell ref="GE7:GG7"/>
    <mergeCell ref="GH7:GJ7"/>
    <mergeCell ref="GK7:GM7"/>
    <mergeCell ref="FJ7:FL7"/>
    <mergeCell ref="FM7:FO7"/>
    <mergeCell ref="FP7:FR7"/>
    <mergeCell ref="FS7:FU7"/>
    <mergeCell ref="FV7:FX7"/>
    <mergeCell ref="EU7:EW7"/>
    <mergeCell ref="EX7:EZ7"/>
    <mergeCell ref="FA7:FC7"/>
    <mergeCell ref="FD7:FF7"/>
    <mergeCell ref="FG7:FI7"/>
    <mergeCell ref="EF7:EH7"/>
    <mergeCell ref="EI7:EK7"/>
    <mergeCell ref="EL7:EN7"/>
    <mergeCell ref="EO7:EQ7"/>
    <mergeCell ref="ER7:ET7"/>
    <mergeCell ref="DQ7:DS7"/>
    <mergeCell ref="DT7:DV7"/>
    <mergeCell ref="DW7:DY7"/>
    <mergeCell ref="DZ7:EB7"/>
    <mergeCell ref="EC7:EE7"/>
    <mergeCell ref="DB7:DD7"/>
    <mergeCell ref="DE7:DG7"/>
    <mergeCell ref="DH7:DJ7"/>
    <mergeCell ref="DK7:DM7"/>
    <mergeCell ref="DN7:DP7"/>
    <mergeCell ref="CM7:CO7"/>
    <mergeCell ref="CP7:CR7"/>
    <mergeCell ref="CS7:CU7"/>
    <mergeCell ref="CV7:CX7"/>
    <mergeCell ref="CY7:DA7"/>
    <mergeCell ref="BX7:BZ7"/>
    <mergeCell ref="CA7:CC7"/>
    <mergeCell ref="CD7:CF7"/>
    <mergeCell ref="CG7:CI7"/>
    <mergeCell ref="CJ7:CL7"/>
    <mergeCell ref="BI7:BK7"/>
    <mergeCell ref="BL7:BN7"/>
    <mergeCell ref="BO7:BQ7"/>
    <mergeCell ref="BR7:BT7"/>
    <mergeCell ref="BU7:BW7"/>
    <mergeCell ref="A8:C8"/>
    <mergeCell ref="A2:C2"/>
    <mergeCell ref="A3:C3"/>
    <mergeCell ref="A5:C5"/>
    <mergeCell ref="A6:C6"/>
    <mergeCell ref="A4:C4"/>
    <mergeCell ref="AT7:AV7"/>
    <mergeCell ref="AW7:AY7"/>
    <mergeCell ref="AZ7:BB7"/>
    <mergeCell ref="BC7:BE7"/>
    <mergeCell ref="BF7:BH7"/>
    <mergeCell ref="AE7:AG7"/>
    <mergeCell ref="AH7:AJ7"/>
    <mergeCell ref="AK7:AM7"/>
    <mergeCell ref="AN7:AP7"/>
    <mergeCell ref="AQ7:AS7"/>
    <mergeCell ref="P7:R7"/>
    <mergeCell ref="S7:U7"/>
    <mergeCell ref="V7:X7"/>
    <mergeCell ref="Y7:AA7"/>
    <mergeCell ref="AB7:AD7"/>
    <mergeCell ref="A7:C7"/>
    <mergeCell ref="D7:F7"/>
    <mergeCell ref="G7:I7"/>
    <mergeCell ref="J7:L7"/>
    <mergeCell ref="M7:O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5B79B-DB7B-4D71-95FE-09319E76DAF8}">
  <sheetPr>
    <tabColor theme="8" tint="-0.249977111117893"/>
  </sheetPr>
  <dimension ref="A1:AZ208"/>
  <sheetViews>
    <sheetView showGridLines="0" tabSelected="1" zoomScale="53" zoomScaleNormal="60" workbookViewId="0">
      <pane ySplit="3" topLeftCell="A4" activePane="bottomLeft" state="frozen"/>
      <selection pane="bottomLeft" activeCell="C23" sqref="C23"/>
    </sheetView>
  </sheetViews>
  <sheetFormatPr defaultColWidth="0" defaultRowHeight="14.5"/>
  <cols>
    <col min="1" max="1" width="16.26953125" style="33" bestFit="1" customWidth="1"/>
    <col min="2" max="2" width="46.08984375" style="18" customWidth="1"/>
    <col min="3" max="3" width="37.1796875" style="18" customWidth="1"/>
    <col min="4" max="4" width="19.54296875" style="18" customWidth="1"/>
    <col min="5" max="5" width="12.54296875" style="33" bestFit="1" customWidth="1"/>
    <col min="6" max="6" width="19.453125" style="33" customWidth="1"/>
    <col min="7" max="7" width="14.54296875" style="33" customWidth="1"/>
    <col min="8" max="8" width="14.81640625" style="33" customWidth="1"/>
    <col min="9" max="9" width="12.81640625" style="18" customWidth="1"/>
    <col min="10" max="10" width="13.54296875" style="18" customWidth="1"/>
    <col min="11" max="11" width="21.453125" style="33" customWidth="1"/>
    <col min="12" max="12" width="19.26953125" style="34" customWidth="1"/>
    <col min="13" max="13" width="20.1796875" style="33" customWidth="1"/>
    <col min="14" max="14" width="24.54296875" style="18" customWidth="1"/>
    <col min="15" max="15" width="21.1796875" style="35" customWidth="1"/>
    <col min="16" max="16" width="25.54296875" style="35" customWidth="1"/>
    <col min="17" max="17" width="22.54296875" style="36" customWidth="1"/>
    <col min="18" max="18" width="11.54296875" style="33" customWidth="1"/>
    <col min="19" max="20" width="15.54296875" style="13" customWidth="1"/>
    <col min="21" max="21" width="21.26953125" style="18" customWidth="1"/>
    <col min="22" max="22" width="22.26953125" style="18" bestFit="1" customWidth="1"/>
    <col min="23" max="23" width="32.81640625" style="38" customWidth="1"/>
    <col min="24" max="24" width="36.7265625" style="18" customWidth="1"/>
    <col min="25" max="25" width="21.453125" style="37" customWidth="1"/>
    <col min="26" max="26" width="27.7265625" style="18" customWidth="1"/>
    <col min="27" max="27" width="31.6328125" customWidth="1"/>
    <col min="28" max="28" width="29.54296875" style="41" customWidth="1"/>
    <col min="29" max="30" width="38.90625" style="14" customWidth="1"/>
    <col min="31" max="32" width="29.54296875" style="14" customWidth="1"/>
    <col min="33" max="33" width="11.81640625" customWidth="1"/>
    <col min="34" max="34" width="23.54296875" style="33" customWidth="1"/>
    <col min="35" max="35" width="17.54296875" style="33" customWidth="1"/>
    <col min="36" max="36" width="12.81640625" style="33" customWidth="1"/>
    <col min="37" max="37" width="79.36328125" style="33" customWidth="1"/>
    <col min="38" max="38" width="30" style="33" hidden="1" customWidth="1"/>
    <col min="39" max="39" width="24.81640625" style="33" hidden="1" customWidth="1"/>
    <col min="40" max="40" width="28.6328125" style="33" hidden="1" customWidth="1"/>
    <col min="41" max="45" width="27.7265625" style="33" hidden="1" customWidth="1"/>
    <col min="46" max="47" width="27.7265625" style="33" customWidth="1"/>
    <col min="48" max="48" width="8.81640625" style="11" hidden="1" customWidth="1"/>
    <col min="49" max="49" width="0" hidden="1" customWidth="1"/>
    <col min="50" max="50" width="8.81640625" hidden="1" customWidth="1"/>
    <col min="51" max="16384" width="8.7265625" hidden="1"/>
  </cols>
  <sheetData>
    <row r="1" spans="1:48" hidden="1">
      <c r="AL1" s="43">
        <f>MIN(AL4:AL203)</f>
        <v>2.2309387196944537E-2</v>
      </c>
      <c r="AM1" s="43">
        <f>MIN(AM4:AM203)</f>
        <v>3.3433632047918227</v>
      </c>
      <c r="AN1" s="43">
        <f>MIN(AN4:AN203)</f>
        <v>8.6493998504404215E-2</v>
      </c>
      <c r="AO1" s="43">
        <f>MIN(AO4:AO203)</f>
        <v>3.0407290331816967</v>
      </c>
      <c r="AP1" s="45"/>
      <c r="AQ1" s="45"/>
      <c r="AR1" s="45"/>
      <c r="AS1" s="45"/>
      <c r="AT1" s="45"/>
      <c r="AU1" s="45"/>
    </row>
    <row r="2" spans="1:48" hidden="1">
      <c r="AL2" s="44">
        <f>MAX(AL5:AL204)</f>
        <v>2.6613466673591173</v>
      </c>
      <c r="AM2" s="44">
        <f>MAX(AM5:AM204)</f>
        <v>6.4891497142165457</v>
      </c>
      <c r="AN2" s="44">
        <f>MAX(AN5:AN204)</f>
        <v>4.0000434272768626</v>
      </c>
      <c r="AO2" s="44">
        <f>MAX(AO5:AO204)</f>
        <v>7.0016912125786916</v>
      </c>
      <c r="AP2" s="47">
        <f>MEDIAN(AP4:AP203)</f>
        <v>0.38072081277023695</v>
      </c>
      <c r="AQ2" s="47">
        <f t="shared" ref="AQ2:AS2" si="0">MEDIAN(AQ4:AQ203)</f>
        <v>0.65612507183004731</v>
      </c>
      <c r="AR2" s="47">
        <f t="shared" si="0"/>
        <v>0.37563659628156165</v>
      </c>
      <c r="AS2" s="47">
        <f t="shared" si="0"/>
        <v>0.68281165698999891</v>
      </c>
      <c r="AT2" s="46"/>
      <c r="AU2" s="46"/>
    </row>
    <row r="3" spans="1:48" s="24" customFormat="1" ht="50.15" customHeight="1">
      <c r="A3" s="19" t="s">
        <v>4</v>
      </c>
      <c r="B3" s="19" t="s">
        <v>5</v>
      </c>
      <c r="C3" s="19" t="s">
        <v>7</v>
      </c>
      <c r="D3" s="19" t="s">
        <v>9</v>
      </c>
      <c r="E3" s="20" t="s">
        <v>11</v>
      </c>
      <c r="F3" s="20" t="s">
        <v>13</v>
      </c>
      <c r="G3" s="20" t="s">
        <v>15</v>
      </c>
      <c r="H3" s="20" t="s">
        <v>17</v>
      </c>
      <c r="I3" s="19" t="s">
        <v>29</v>
      </c>
      <c r="J3" s="19" t="s">
        <v>31</v>
      </c>
      <c r="K3" s="20" t="s">
        <v>834</v>
      </c>
      <c r="L3" s="21" t="s">
        <v>33</v>
      </c>
      <c r="M3" s="20" t="s">
        <v>19</v>
      </c>
      <c r="N3" s="19" t="s">
        <v>21</v>
      </c>
      <c r="O3" s="22" t="s">
        <v>23</v>
      </c>
      <c r="P3" s="22" t="s">
        <v>25</v>
      </c>
      <c r="Q3" s="23" t="s">
        <v>27</v>
      </c>
      <c r="R3" s="20" t="s">
        <v>34</v>
      </c>
      <c r="S3" s="19" t="s">
        <v>35</v>
      </c>
      <c r="T3" s="19" t="s">
        <v>1139</v>
      </c>
      <c r="U3" s="19" t="s">
        <v>36</v>
      </c>
      <c r="V3" s="19" t="s">
        <v>38</v>
      </c>
      <c r="W3" s="15" t="s">
        <v>39</v>
      </c>
      <c r="X3" s="15" t="s">
        <v>40</v>
      </c>
      <c r="Y3" s="15" t="s">
        <v>41</v>
      </c>
      <c r="Z3" s="15" t="s">
        <v>43</v>
      </c>
      <c r="AA3" s="15" t="s">
        <v>44</v>
      </c>
      <c r="AB3" s="15" t="s">
        <v>45</v>
      </c>
      <c r="AC3" s="15" t="s">
        <v>46</v>
      </c>
      <c r="AD3" s="15" t="s">
        <v>1143</v>
      </c>
      <c r="AE3" s="15" t="s">
        <v>1142</v>
      </c>
      <c r="AF3" s="15" t="s">
        <v>1141</v>
      </c>
      <c r="AG3" s="22" t="s">
        <v>47</v>
      </c>
      <c r="AH3" s="22" t="s">
        <v>48</v>
      </c>
      <c r="AI3" s="22" t="s">
        <v>49</v>
      </c>
      <c r="AJ3" s="22" t="s">
        <v>51</v>
      </c>
      <c r="AK3" s="22" t="s">
        <v>52</v>
      </c>
      <c r="AL3" s="22" t="s">
        <v>1162</v>
      </c>
      <c r="AM3" s="22" t="s">
        <v>1163</v>
      </c>
      <c r="AN3" s="22" t="s">
        <v>1164</v>
      </c>
      <c r="AO3" s="22" t="s">
        <v>1165</v>
      </c>
      <c r="AP3" s="22" t="s">
        <v>1166</v>
      </c>
      <c r="AQ3" s="22" t="s">
        <v>1167</v>
      </c>
      <c r="AR3" s="22" t="s">
        <v>1168</v>
      </c>
      <c r="AS3" s="22" t="s">
        <v>1169</v>
      </c>
      <c r="AT3" s="22" t="s">
        <v>1170</v>
      </c>
      <c r="AU3" s="22" t="s">
        <v>1171</v>
      </c>
    </row>
    <row r="4" spans="1:48" s="30" customFormat="1">
      <c r="A4" s="25" t="s">
        <v>54</v>
      </c>
      <c r="B4" s="26" t="s">
        <v>884</v>
      </c>
      <c r="C4" s="26" t="s">
        <v>72</v>
      </c>
      <c r="D4" s="26" t="s">
        <v>56</v>
      </c>
      <c r="E4" s="25" t="s">
        <v>57</v>
      </c>
      <c r="F4" s="25">
        <v>32</v>
      </c>
      <c r="G4" s="25" t="s">
        <v>58</v>
      </c>
      <c r="H4" s="25" t="s">
        <v>59</v>
      </c>
      <c r="I4" s="50">
        <v>-34.527734000000002</v>
      </c>
      <c r="J4" s="50">
        <v>-58.622301</v>
      </c>
      <c r="K4" s="25" t="s">
        <v>62</v>
      </c>
      <c r="L4" s="16" t="s">
        <v>73</v>
      </c>
      <c r="M4" s="25" t="s">
        <v>60</v>
      </c>
      <c r="N4" s="26" t="s">
        <v>61</v>
      </c>
      <c r="O4" s="25">
        <v>23550.099610000001</v>
      </c>
      <c r="P4" s="25">
        <v>46234830</v>
      </c>
      <c r="Q4" s="27">
        <v>0.41670354300000001</v>
      </c>
      <c r="R4" s="25" t="s">
        <v>64</v>
      </c>
      <c r="S4" s="28" t="s">
        <v>65</v>
      </c>
      <c r="T4" s="39">
        <v>352.18131173248042</v>
      </c>
      <c r="U4" s="26" t="s">
        <v>66</v>
      </c>
      <c r="V4" s="26" t="s">
        <v>1159</v>
      </c>
      <c r="W4" s="26">
        <v>698817.90593845246</v>
      </c>
      <c r="X4" s="16" t="s">
        <v>67</v>
      </c>
      <c r="Y4" s="26">
        <v>100</v>
      </c>
      <c r="Z4" s="26" t="s">
        <v>74</v>
      </c>
      <c r="AA4" s="26">
        <v>1599829.4003683799</v>
      </c>
      <c r="AB4" s="29" t="s">
        <v>68</v>
      </c>
      <c r="AC4" s="29" t="s">
        <v>1148</v>
      </c>
      <c r="AD4" s="39">
        <v>1.5</v>
      </c>
      <c r="AE4" s="26">
        <v>2</v>
      </c>
      <c r="AF4" s="29" t="s">
        <v>1151</v>
      </c>
      <c r="AG4" s="25">
        <v>715136.1308280488</v>
      </c>
      <c r="AH4" s="25" t="s">
        <v>871</v>
      </c>
      <c r="AI4" s="25" t="s">
        <v>69</v>
      </c>
      <c r="AJ4" s="25" t="s">
        <v>885</v>
      </c>
      <c r="AK4" s="17" t="s">
        <v>872</v>
      </c>
      <c r="AL4" s="27">
        <f t="shared" ref="AL4:AL35" si="1">LOG10(T4 + 1)</f>
        <v>2.547997715216439</v>
      </c>
      <c r="AM4" s="27">
        <f t="shared" ref="AM4:AM35" si="2">LOG10(W4 + 1)</f>
        <v>5.8443646459297787</v>
      </c>
      <c r="AN4" s="27">
        <f t="shared" ref="AN4:AN35" si="3">LOG10(Y4+ 1)</f>
        <v>2.0043213737826426</v>
      </c>
      <c r="AO4" s="27">
        <f t="shared" ref="AO4:AO35" si="4">LOG10(AA4+ 1)</f>
        <v>6.2040739451008058</v>
      </c>
      <c r="AP4" s="27">
        <f t="shared" ref="AP4:AP35" si="5">IF(ISBLANK(T4),$AP$2, MIN(1, MAX(0, (AL4 - $AL$1) / ($AL$2 - $AL$1))))</f>
        <v>0.95704912810640064</v>
      </c>
      <c r="AQ4" s="27">
        <f t="shared" ref="AQ4:AQ35" si="6">IF(ISBLANK(W4), $AQ$2, MIN(1, MAX(0, (AM4 - $AM$1) / ($AM$2 - $AM$1))))</f>
        <v>0.79503215925333715</v>
      </c>
      <c r="AR4" s="27">
        <f t="shared" ref="AR4:AR35" si="7">IF(ISBLANK(Y4), $AR$2, MIN(1, MAX(0, (AN4 - $AN$1) / ($AN$2 - $AN$1))))</f>
        <v>0.49004807788509086</v>
      </c>
      <c r="AS4" s="27">
        <f t="shared" ref="AS4:AS35" si="8">IF(ISBLANK(AA4), $AS$2, MIN(1, MAX(0, (AO4 - $AO$1) / ($AO$2 - $AO$1))))</f>
        <v>0.79863042580242138</v>
      </c>
      <c r="AT4" s="27">
        <f>ROUND(100 * (AP4 + AQ4 + AR4 + AS4) / 4, 1)</f>
        <v>76</v>
      </c>
      <c r="AU4" s="27" t="b">
        <f t="shared" ref="AU4:AU67" si="9">OR(ISBLANK(T4), ISBLANK(W4), ISBLANK(Y4), ISBLANK(AA4))</f>
        <v>0</v>
      </c>
      <c r="AV4" s="11"/>
    </row>
    <row r="5" spans="1:48" s="30" customFormat="1">
      <c r="A5" s="25" t="s">
        <v>71</v>
      </c>
      <c r="B5" s="26" t="s">
        <v>883</v>
      </c>
      <c r="C5" s="26" t="s">
        <v>55</v>
      </c>
      <c r="D5" s="26" t="s">
        <v>56</v>
      </c>
      <c r="E5" s="25" t="s">
        <v>57</v>
      </c>
      <c r="F5" s="25">
        <v>32</v>
      </c>
      <c r="G5" s="25" t="s">
        <v>58</v>
      </c>
      <c r="H5" s="25" t="s">
        <v>59</v>
      </c>
      <c r="I5" s="50">
        <v>-38.075288890000003</v>
      </c>
      <c r="J5" s="50">
        <v>-57.650661100000001</v>
      </c>
      <c r="K5" s="25" t="s">
        <v>62</v>
      </c>
      <c r="L5" s="16" t="s">
        <v>63</v>
      </c>
      <c r="M5" s="25" t="s">
        <v>60</v>
      </c>
      <c r="N5" s="26" t="s">
        <v>61</v>
      </c>
      <c r="O5" s="25">
        <v>23550.099610000001</v>
      </c>
      <c r="P5" s="25">
        <v>46234830</v>
      </c>
      <c r="Q5" s="27">
        <v>0.41670354300000001</v>
      </c>
      <c r="R5" s="25" t="s">
        <v>64</v>
      </c>
      <c r="S5" s="28" t="s">
        <v>65</v>
      </c>
      <c r="T5" s="39">
        <v>2.6694038326706742</v>
      </c>
      <c r="U5" s="26" t="s">
        <v>66</v>
      </c>
      <c r="V5" s="26" t="s">
        <v>1159</v>
      </c>
      <c r="W5" s="26">
        <v>3084250</v>
      </c>
      <c r="X5" s="16" t="s">
        <v>63</v>
      </c>
      <c r="Y5" s="26">
        <v>308.42500000000001</v>
      </c>
      <c r="Z5" s="26" t="s">
        <v>67</v>
      </c>
      <c r="AA5" s="26">
        <v>288428.94635412103</v>
      </c>
      <c r="AB5" s="29" t="s">
        <v>89</v>
      </c>
      <c r="AC5" s="29" t="s">
        <v>70</v>
      </c>
      <c r="AD5" s="39" t="s">
        <v>70</v>
      </c>
      <c r="AE5" s="29" t="s">
        <v>70</v>
      </c>
      <c r="AF5" s="29" t="s">
        <v>70</v>
      </c>
      <c r="AG5" s="25">
        <v>3156270.8865400325</v>
      </c>
      <c r="AH5" s="25" t="s">
        <v>65</v>
      </c>
      <c r="AI5" s="25" t="s">
        <v>69</v>
      </c>
      <c r="AJ5" s="25" t="s">
        <v>65</v>
      </c>
      <c r="AK5" s="17" t="s">
        <v>70</v>
      </c>
      <c r="AL5" s="27">
        <f t="shared" si="1"/>
        <v>0.56459551024310184</v>
      </c>
      <c r="AM5" s="27">
        <f t="shared" si="2"/>
        <v>6.4891497142165457</v>
      </c>
      <c r="AN5" s="27">
        <f t="shared" si="3"/>
        <v>2.4905553996135925</v>
      </c>
      <c r="AO5" s="27">
        <f t="shared" si="4"/>
        <v>5.4600403491859906</v>
      </c>
      <c r="AP5" s="27">
        <f t="shared" si="5"/>
        <v>0.20548634425233775</v>
      </c>
      <c r="AQ5" s="27">
        <f t="shared" si="6"/>
        <v>1</v>
      </c>
      <c r="AR5" s="27">
        <f t="shared" si="7"/>
        <v>0.61429181996131244</v>
      </c>
      <c r="AS5" s="27">
        <f t="shared" si="8"/>
        <v>0.61078879485100324</v>
      </c>
      <c r="AT5" s="27">
        <f t="shared" ref="AT5:AT68" si="10">ROUND(100 * (AP5 + AQ5 + AR5 + AS5) / 4, 1)</f>
        <v>60.8</v>
      </c>
      <c r="AU5" s="27" t="b">
        <f t="shared" si="9"/>
        <v>0</v>
      </c>
      <c r="AV5" s="11"/>
    </row>
    <row r="6" spans="1:48" s="30" customFormat="1">
      <c r="A6" s="25" t="s">
        <v>75</v>
      </c>
      <c r="B6" s="26" t="s">
        <v>76</v>
      </c>
      <c r="C6" s="26" t="s">
        <v>77</v>
      </c>
      <c r="D6" s="26" t="s">
        <v>56</v>
      </c>
      <c r="E6" s="25" t="s">
        <v>57</v>
      </c>
      <c r="F6" s="25">
        <v>32</v>
      </c>
      <c r="G6" s="25" t="s">
        <v>58</v>
      </c>
      <c r="H6" s="25" t="s">
        <v>59</v>
      </c>
      <c r="I6" s="50">
        <v>-26.774722199999999</v>
      </c>
      <c r="J6" s="50">
        <v>-60.471111100000002</v>
      </c>
      <c r="K6" s="25" t="s">
        <v>62</v>
      </c>
      <c r="L6" s="16" t="s">
        <v>78</v>
      </c>
      <c r="M6" s="25" t="s">
        <v>60</v>
      </c>
      <c r="N6" s="26" t="s">
        <v>61</v>
      </c>
      <c r="O6" s="25">
        <v>23550.099610000001</v>
      </c>
      <c r="P6" s="25">
        <v>46234830</v>
      </c>
      <c r="Q6" s="27">
        <v>0.41670354300000001</v>
      </c>
      <c r="R6" s="25" t="s">
        <v>64</v>
      </c>
      <c r="S6" s="28" t="s">
        <v>65</v>
      </c>
      <c r="T6" s="39">
        <v>50.024222080473926</v>
      </c>
      <c r="U6" s="26" t="s">
        <v>66</v>
      </c>
      <c r="V6" s="26" t="s">
        <v>1160</v>
      </c>
      <c r="W6" s="26">
        <v>43499.81138261046</v>
      </c>
      <c r="X6" s="16" t="s">
        <v>79</v>
      </c>
      <c r="Y6" s="26">
        <v>4.3499811382610458</v>
      </c>
      <c r="Z6" s="26" t="s">
        <v>67</v>
      </c>
      <c r="AA6" s="26">
        <v>104507.33235222301</v>
      </c>
      <c r="AB6" s="29" t="s">
        <v>68</v>
      </c>
      <c r="AC6" s="29" t="s">
        <v>1149</v>
      </c>
      <c r="AD6" s="39">
        <v>0.81818181818181801</v>
      </c>
      <c r="AE6" s="26">
        <v>11</v>
      </c>
      <c r="AF6" s="29" t="s">
        <v>1151</v>
      </c>
      <c r="AG6" s="25">
        <v>44515.583443921918</v>
      </c>
      <c r="AH6" s="25" t="s">
        <v>80</v>
      </c>
      <c r="AI6" s="25" t="s">
        <v>69</v>
      </c>
      <c r="AJ6" s="25" t="s">
        <v>80</v>
      </c>
      <c r="AK6" s="17" t="s">
        <v>81</v>
      </c>
      <c r="AL6" s="27">
        <f t="shared" si="1"/>
        <v>1.707776392148854</v>
      </c>
      <c r="AM6" s="27">
        <f t="shared" si="2"/>
        <v>4.6384973575455364</v>
      </c>
      <c r="AN6" s="27">
        <f t="shared" si="3"/>
        <v>0.72835225088784772</v>
      </c>
      <c r="AO6" s="27">
        <f t="shared" si="4"/>
        <v>5.0191509177229614</v>
      </c>
      <c r="AP6" s="27">
        <f t="shared" si="5"/>
        <v>0.63866737223520198</v>
      </c>
      <c r="AQ6" s="27">
        <f t="shared" si="6"/>
        <v>0.41170440170479267</v>
      </c>
      <c r="AR6" s="27">
        <f t="shared" si="7"/>
        <v>0.16400923613344312</v>
      </c>
      <c r="AS6" s="27">
        <f t="shared" si="8"/>
        <v>0.49948012501408273</v>
      </c>
      <c r="AT6" s="27">
        <f t="shared" si="10"/>
        <v>42.8</v>
      </c>
      <c r="AU6" s="27" t="b">
        <f t="shared" si="9"/>
        <v>0</v>
      </c>
      <c r="AV6" s="11"/>
    </row>
    <row r="7" spans="1:48" s="30" customFormat="1" ht="12" customHeight="1">
      <c r="A7" s="25" t="s">
        <v>82</v>
      </c>
      <c r="B7" s="26" t="s">
        <v>92</v>
      </c>
      <c r="C7" s="26" t="s">
        <v>93</v>
      </c>
      <c r="D7" s="26" t="s">
        <v>84</v>
      </c>
      <c r="E7" s="25" t="s">
        <v>85</v>
      </c>
      <c r="F7" s="25">
        <v>50</v>
      </c>
      <c r="G7" s="25" t="s">
        <v>86</v>
      </c>
      <c r="H7" s="25" t="s">
        <v>87</v>
      </c>
      <c r="I7" s="50">
        <v>23.720277777777781</v>
      </c>
      <c r="J7" s="50">
        <v>90.45194444444445</v>
      </c>
      <c r="K7" s="25" t="s">
        <v>62</v>
      </c>
      <c r="L7" s="16" t="s">
        <v>73</v>
      </c>
      <c r="M7" s="25" t="s">
        <v>88</v>
      </c>
      <c r="N7" s="26" t="s">
        <v>61</v>
      </c>
      <c r="O7" s="25">
        <v>3195.7370609999998</v>
      </c>
      <c r="P7" s="25">
        <v>171186372</v>
      </c>
      <c r="Q7" s="27">
        <v>9.4899997999999999E-2</v>
      </c>
      <c r="R7" s="25" t="s">
        <v>64</v>
      </c>
      <c r="S7" s="28">
        <v>2006</v>
      </c>
      <c r="T7" s="39">
        <v>32.86046753708613</v>
      </c>
      <c r="U7" s="26" t="s">
        <v>66</v>
      </c>
      <c r="V7" s="26" t="s">
        <v>1159</v>
      </c>
      <c r="W7" s="26">
        <v>860108.54199932027</v>
      </c>
      <c r="X7" s="51" t="s">
        <v>927</v>
      </c>
      <c r="Y7" s="26">
        <v>2000</v>
      </c>
      <c r="Z7" s="26" t="s">
        <v>67</v>
      </c>
      <c r="AA7" s="26">
        <v>10039016.5296898</v>
      </c>
      <c r="AB7" s="29" t="s">
        <v>68</v>
      </c>
      <c r="AC7" s="29" t="s">
        <v>1149</v>
      </c>
      <c r="AD7" s="39">
        <v>0.77777777777777701</v>
      </c>
      <c r="AE7" s="26">
        <v>9</v>
      </c>
      <c r="AF7" s="29" t="s">
        <v>1151</v>
      </c>
      <c r="AG7" s="25">
        <v>898883.29141990468</v>
      </c>
      <c r="AH7" s="25" t="s">
        <v>95</v>
      </c>
      <c r="AI7" s="25" t="s">
        <v>69</v>
      </c>
      <c r="AJ7" s="25" t="s">
        <v>95</v>
      </c>
      <c r="AK7" s="17" t="s">
        <v>858</v>
      </c>
      <c r="AL7" s="27">
        <f t="shared" si="1"/>
        <v>1.5296929504467134</v>
      </c>
      <c r="AM7" s="27">
        <f t="shared" si="2"/>
        <v>5.9345537657276095</v>
      </c>
      <c r="AN7" s="27">
        <f t="shared" si="3"/>
        <v>3.3012470886362113</v>
      </c>
      <c r="AO7" s="27">
        <f t="shared" si="4"/>
        <v>7.0016912125786916</v>
      </c>
      <c r="AP7" s="27">
        <f t="shared" si="5"/>
        <v>0.57118691523642962</v>
      </c>
      <c r="AQ7" s="27">
        <f t="shared" si="6"/>
        <v>0.82370197506176079</v>
      </c>
      <c r="AR7" s="27">
        <f t="shared" si="7"/>
        <v>0.82144180075940965</v>
      </c>
      <c r="AS7" s="27">
        <f t="shared" si="8"/>
        <v>1</v>
      </c>
      <c r="AT7" s="27">
        <f t="shared" si="10"/>
        <v>80.400000000000006</v>
      </c>
      <c r="AU7" s="27" t="b">
        <f t="shared" si="9"/>
        <v>0</v>
      </c>
      <c r="AV7" s="11"/>
    </row>
    <row r="8" spans="1:48" s="30" customFormat="1" ht="15.5" customHeight="1">
      <c r="A8" s="25" t="s">
        <v>91</v>
      </c>
      <c r="B8" s="26" t="s">
        <v>83</v>
      </c>
      <c r="C8" s="26" t="s">
        <v>856</v>
      </c>
      <c r="D8" s="26" t="s">
        <v>84</v>
      </c>
      <c r="E8" s="25" t="s">
        <v>85</v>
      </c>
      <c r="F8" s="25">
        <v>50</v>
      </c>
      <c r="G8" s="25" t="s">
        <v>86</v>
      </c>
      <c r="H8" s="25" t="s">
        <v>87</v>
      </c>
      <c r="I8" s="50">
        <v>23.797777777777782</v>
      </c>
      <c r="J8" s="50">
        <v>90.301111111111112</v>
      </c>
      <c r="K8" s="25" t="s">
        <v>62</v>
      </c>
      <c r="L8" s="16" t="s">
        <v>73</v>
      </c>
      <c r="M8" s="25" t="s">
        <v>88</v>
      </c>
      <c r="N8" s="26" t="s">
        <v>61</v>
      </c>
      <c r="O8" s="25">
        <v>3195.7370609999998</v>
      </c>
      <c r="P8" s="25">
        <v>171186372</v>
      </c>
      <c r="Q8" s="27">
        <v>9.4899997999999999E-2</v>
      </c>
      <c r="R8" s="25" t="s">
        <v>64</v>
      </c>
      <c r="S8" s="28">
        <v>2005</v>
      </c>
      <c r="T8" s="39">
        <v>0.17776517479089091</v>
      </c>
      <c r="U8" s="26" t="s">
        <v>66</v>
      </c>
      <c r="V8" s="26" t="s">
        <v>1159</v>
      </c>
      <c r="W8" s="26">
        <v>1095000</v>
      </c>
      <c r="X8" s="16" t="s">
        <v>857</v>
      </c>
      <c r="Y8" s="26">
        <v>109.5</v>
      </c>
      <c r="Z8" s="26" t="s">
        <v>67</v>
      </c>
      <c r="AA8" s="26">
        <v>4757757.4077385003</v>
      </c>
      <c r="AB8" s="29" t="s">
        <v>68</v>
      </c>
      <c r="AC8" s="29" t="s">
        <v>1149</v>
      </c>
      <c r="AD8" s="39">
        <v>1</v>
      </c>
      <c r="AE8" s="26">
        <v>1</v>
      </c>
      <c r="AF8" s="29" t="s">
        <v>1151</v>
      </c>
      <c r="AG8" s="25">
        <v>1144363.9448305506</v>
      </c>
      <c r="AH8" s="25" t="s">
        <v>90</v>
      </c>
      <c r="AI8" s="25" t="s">
        <v>69</v>
      </c>
      <c r="AJ8" s="25" t="s">
        <v>90</v>
      </c>
      <c r="AK8" s="17" t="s">
        <v>857</v>
      </c>
      <c r="AL8" s="27">
        <f t="shared" si="1"/>
        <v>7.1058708567661694E-2</v>
      </c>
      <c r="AM8" s="27">
        <f t="shared" si="2"/>
        <v>6.039414515791921</v>
      </c>
      <c r="AN8" s="27">
        <f t="shared" si="3"/>
        <v>2.0433622780211294</v>
      </c>
      <c r="AO8" s="27">
        <f t="shared" si="4"/>
        <v>6.6774023853998825</v>
      </c>
      <c r="AP8" s="27">
        <f t="shared" si="5"/>
        <v>1.8472388297493637E-2</v>
      </c>
      <c r="AQ8" s="27">
        <f t="shared" si="6"/>
        <v>0.85703568977830324</v>
      </c>
      <c r="AR8" s="27">
        <f t="shared" si="7"/>
        <v>0.50002390799763718</v>
      </c>
      <c r="AS8" s="27">
        <f t="shared" si="8"/>
        <v>0.91812877465339038</v>
      </c>
      <c r="AT8" s="27">
        <f t="shared" si="10"/>
        <v>57.3</v>
      </c>
      <c r="AU8" s="27" t="b">
        <f t="shared" si="9"/>
        <v>0</v>
      </c>
      <c r="AV8" s="11"/>
    </row>
    <row r="9" spans="1:48" s="30" customFormat="1">
      <c r="A9" s="25" t="s">
        <v>96</v>
      </c>
      <c r="B9" s="26" t="s">
        <v>97</v>
      </c>
      <c r="C9" s="26" t="s">
        <v>98</v>
      </c>
      <c r="D9" s="26" t="s">
        <v>99</v>
      </c>
      <c r="E9" s="25" t="s">
        <v>100</v>
      </c>
      <c r="F9" s="25">
        <v>68</v>
      </c>
      <c r="G9" s="25" t="s">
        <v>58</v>
      </c>
      <c r="H9" s="25" t="s">
        <v>59</v>
      </c>
      <c r="I9" s="50">
        <v>-17.477286700000001</v>
      </c>
      <c r="J9" s="50">
        <v>-66.124387499999997</v>
      </c>
      <c r="K9" s="25" t="s">
        <v>62</v>
      </c>
      <c r="L9" s="16" t="s">
        <v>101</v>
      </c>
      <c r="M9" s="25" t="s">
        <v>88</v>
      </c>
      <c r="N9" s="26" t="s">
        <v>61</v>
      </c>
      <c r="O9" s="25">
        <v>7984.4135740000002</v>
      </c>
      <c r="P9" s="25">
        <v>12224110</v>
      </c>
      <c r="Q9" s="27">
        <v>0.20691030699999999</v>
      </c>
      <c r="R9" s="25" t="s">
        <v>64</v>
      </c>
      <c r="S9" s="28">
        <v>1997</v>
      </c>
      <c r="T9" s="39">
        <v>6.5418121278149082</v>
      </c>
      <c r="U9" s="26" t="s">
        <v>66</v>
      </c>
      <c r="V9" s="26" t="s">
        <v>1159</v>
      </c>
      <c r="W9" s="26">
        <v>182500</v>
      </c>
      <c r="X9" s="16" t="s">
        <v>102</v>
      </c>
      <c r="Y9" s="26">
        <v>5000</v>
      </c>
      <c r="Z9" s="26" t="s">
        <v>101</v>
      </c>
      <c r="AA9" s="26">
        <v>496558.073454589</v>
      </c>
      <c r="AB9" s="29" t="s">
        <v>89</v>
      </c>
      <c r="AC9" s="29" t="s">
        <v>70</v>
      </c>
      <c r="AD9" s="39" t="s">
        <v>70</v>
      </c>
      <c r="AE9" s="29" t="s">
        <v>70</v>
      </c>
      <c r="AF9" s="29" t="s">
        <v>70</v>
      </c>
      <c r="AG9" s="25">
        <v>201915.48154936542</v>
      </c>
      <c r="AH9" s="25" t="s">
        <v>103</v>
      </c>
      <c r="AI9" s="25" t="s">
        <v>69</v>
      </c>
      <c r="AJ9" s="25" t="s">
        <v>104</v>
      </c>
      <c r="AK9" s="17" t="s">
        <v>105</v>
      </c>
      <c r="AL9" s="27">
        <f t="shared" si="1"/>
        <v>0.87747570960373855</v>
      </c>
      <c r="AM9" s="27">
        <f t="shared" si="2"/>
        <v>5.2612652484817648</v>
      </c>
      <c r="AN9" s="27">
        <f t="shared" si="3"/>
        <v>3.6990568545476679</v>
      </c>
      <c r="AO9" s="27">
        <f t="shared" si="4"/>
        <v>5.6959709220141725</v>
      </c>
      <c r="AP9" s="27">
        <f t="shared" si="5"/>
        <v>0.32404480559450183</v>
      </c>
      <c r="AQ9" s="27">
        <f t="shared" si="6"/>
        <v>0.6096733004429703</v>
      </c>
      <c r="AR9" s="27">
        <f t="shared" si="7"/>
        <v>0.92309115338716863</v>
      </c>
      <c r="AS9" s="27">
        <f t="shared" si="8"/>
        <v>0.67035274980502391</v>
      </c>
      <c r="AT9" s="27">
        <f t="shared" si="10"/>
        <v>63.2</v>
      </c>
      <c r="AU9" s="27" t="b">
        <f t="shared" si="9"/>
        <v>0</v>
      </c>
      <c r="AV9" s="11"/>
    </row>
    <row r="10" spans="1:48" s="30" customFormat="1">
      <c r="A10" s="25" t="s">
        <v>106</v>
      </c>
      <c r="B10" s="26" t="s">
        <v>882</v>
      </c>
      <c r="C10" s="26" t="s">
        <v>119</v>
      </c>
      <c r="D10" s="26" t="s">
        <v>107</v>
      </c>
      <c r="E10" s="25" t="s">
        <v>108</v>
      </c>
      <c r="F10" s="25">
        <v>76</v>
      </c>
      <c r="G10" s="25" t="s">
        <v>58</v>
      </c>
      <c r="H10" s="25" t="s">
        <v>59</v>
      </c>
      <c r="I10" s="50">
        <v>-4.4828510000000001</v>
      </c>
      <c r="J10" s="50">
        <v>-43.903640000000003</v>
      </c>
      <c r="K10" s="25" t="s">
        <v>62</v>
      </c>
      <c r="L10" s="16" t="s">
        <v>73</v>
      </c>
      <c r="M10" s="25" t="s">
        <v>60</v>
      </c>
      <c r="N10" s="26" t="s">
        <v>61</v>
      </c>
      <c r="O10" s="25">
        <v>14596.246090000001</v>
      </c>
      <c r="P10" s="25">
        <v>215313498</v>
      </c>
      <c r="Q10" s="27">
        <v>0.37923990200000002</v>
      </c>
      <c r="R10" s="25" t="s">
        <v>64</v>
      </c>
      <c r="S10" s="28" t="s">
        <v>65</v>
      </c>
      <c r="T10" s="39">
        <v>332.26035253366729</v>
      </c>
      <c r="U10" s="26" t="s">
        <v>66</v>
      </c>
      <c r="V10" s="26" t="s">
        <v>1160</v>
      </c>
      <c r="W10" s="26">
        <v>36870.610071019735</v>
      </c>
      <c r="X10" s="16" t="s">
        <v>67</v>
      </c>
      <c r="Y10" s="26">
        <v>3.6870610071019736</v>
      </c>
      <c r="Z10" s="26" t="s">
        <v>67</v>
      </c>
      <c r="AA10" s="26">
        <v>97341.606780244198</v>
      </c>
      <c r="AB10" s="29" t="s">
        <v>68</v>
      </c>
      <c r="AC10" s="29" t="s">
        <v>1149</v>
      </c>
      <c r="AD10" s="39">
        <v>0.6875</v>
      </c>
      <c r="AE10" s="26">
        <v>32</v>
      </c>
      <c r="AF10" s="29" t="s">
        <v>1151</v>
      </c>
      <c r="AG10" s="25">
        <v>41285.12405986416</v>
      </c>
      <c r="AH10" s="25" t="s">
        <v>65</v>
      </c>
      <c r="AI10" s="25" t="s">
        <v>69</v>
      </c>
      <c r="AJ10" s="25" t="s">
        <v>65</v>
      </c>
      <c r="AK10" s="17" t="s">
        <v>70</v>
      </c>
      <c r="AL10" s="27">
        <f t="shared" si="1"/>
        <v>2.5227836493939573</v>
      </c>
      <c r="AM10" s="27">
        <f t="shared" si="2"/>
        <v>4.5666921023387497</v>
      </c>
      <c r="AN10" s="27">
        <f t="shared" si="3"/>
        <v>0.67090060636324678</v>
      </c>
      <c r="AO10" s="27">
        <f t="shared" si="4"/>
        <v>4.988302972225104</v>
      </c>
      <c r="AP10" s="27">
        <f t="shared" si="5"/>
        <v>0.94749486147590722</v>
      </c>
      <c r="AQ10" s="27">
        <f t="shared" si="6"/>
        <v>0.38887855036629293</v>
      </c>
      <c r="AR10" s="27">
        <f t="shared" si="7"/>
        <v>0.14932904732524363</v>
      </c>
      <c r="AS10" s="27">
        <f t="shared" si="8"/>
        <v>0.49169213207178364</v>
      </c>
      <c r="AT10" s="27">
        <f t="shared" si="10"/>
        <v>49.4</v>
      </c>
      <c r="AU10" s="27" t="b">
        <f t="shared" si="9"/>
        <v>0</v>
      </c>
      <c r="AV10" s="11"/>
    </row>
    <row r="11" spans="1:48">
      <c r="A11" s="25" t="s">
        <v>109</v>
      </c>
      <c r="B11" s="26" t="s">
        <v>1086</v>
      </c>
      <c r="C11" s="26" t="s">
        <v>1087</v>
      </c>
      <c r="D11" s="26" t="s">
        <v>107</v>
      </c>
      <c r="E11" s="25" t="s">
        <v>108</v>
      </c>
      <c r="F11" s="25">
        <v>76</v>
      </c>
      <c r="G11" s="25" t="s">
        <v>58</v>
      </c>
      <c r="H11" s="25" t="s">
        <v>59</v>
      </c>
      <c r="I11" s="50">
        <v>-4.2577777777777781</v>
      </c>
      <c r="J11" s="50">
        <v>-44.786944444444437</v>
      </c>
      <c r="K11" s="25" t="s">
        <v>859</v>
      </c>
      <c r="L11" s="16" t="s">
        <v>73</v>
      </c>
      <c r="M11" s="25" t="s">
        <v>60</v>
      </c>
      <c r="N11" s="26" t="s">
        <v>61</v>
      </c>
      <c r="O11" s="25">
        <v>14596.246090000001</v>
      </c>
      <c r="P11" s="25">
        <v>215313498</v>
      </c>
      <c r="Q11" s="27">
        <v>0.37923990200000002</v>
      </c>
      <c r="R11" s="25" t="s">
        <v>64</v>
      </c>
      <c r="S11" s="28" t="s">
        <v>65</v>
      </c>
      <c r="T11" s="39">
        <v>8.17743327069903</v>
      </c>
      <c r="U11" s="26" t="s">
        <v>66</v>
      </c>
      <c r="V11" s="26" t="s">
        <v>1160</v>
      </c>
      <c r="W11" s="26">
        <v>34696.564646473074</v>
      </c>
      <c r="X11" s="16" t="s">
        <v>67</v>
      </c>
      <c r="Y11" s="52">
        <f>0.0001 *W11</f>
        <v>3.4696564646473078</v>
      </c>
      <c r="Z11" s="26" t="s">
        <v>67</v>
      </c>
      <c r="AA11" s="29">
        <v>91485.492458467095</v>
      </c>
      <c r="AB11" s="29" t="s">
        <v>89</v>
      </c>
      <c r="AC11" s="29" t="s">
        <v>70</v>
      </c>
      <c r="AD11" s="39" t="s">
        <v>70</v>
      </c>
      <c r="AE11" s="29" t="s">
        <v>70</v>
      </c>
      <c r="AF11" s="29" t="s">
        <v>70</v>
      </c>
      <c r="AG11" s="53">
        <v>38850.780421630239</v>
      </c>
      <c r="AH11" s="25" t="s">
        <v>65</v>
      </c>
      <c r="AI11" s="25" t="s">
        <v>69</v>
      </c>
      <c r="AJ11" s="25" t="s">
        <v>65</v>
      </c>
      <c r="AK11" s="17" t="s">
        <v>70</v>
      </c>
      <c r="AL11" s="27">
        <f t="shared" si="1"/>
        <v>0.96272123542363541</v>
      </c>
      <c r="AM11" s="27">
        <f t="shared" si="2"/>
        <v>4.5402989935887152</v>
      </c>
      <c r="AN11" s="27">
        <f t="shared" si="3"/>
        <v>0.65027414477815382</v>
      </c>
      <c r="AO11" s="27">
        <f t="shared" si="4"/>
        <v>4.9613569773036899</v>
      </c>
      <c r="AP11" s="27">
        <f t="shared" si="5"/>
        <v>0.35634655686595729</v>
      </c>
      <c r="AQ11" s="27">
        <f t="shared" si="6"/>
        <v>0.38048856310207102</v>
      </c>
      <c r="AR11" s="27">
        <f t="shared" si="7"/>
        <v>0.14405852194655619</v>
      </c>
      <c r="AS11" s="27">
        <f t="shared" si="8"/>
        <v>0.48488924082945517</v>
      </c>
      <c r="AT11" s="27">
        <f t="shared" si="10"/>
        <v>34.1</v>
      </c>
      <c r="AU11" s="27" t="b">
        <f t="shared" si="9"/>
        <v>0</v>
      </c>
      <c r="AV11"/>
    </row>
    <row r="12" spans="1:48" s="30" customFormat="1">
      <c r="A12" s="25" t="s">
        <v>110</v>
      </c>
      <c r="B12" s="26" t="s">
        <v>881</v>
      </c>
      <c r="C12" s="26" t="s">
        <v>114</v>
      </c>
      <c r="D12" s="26" t="s">
        <v>107</v>
      </c>
      <c r="E12" s="25" t="s">
        <v>108</v>
      </c>
      <c r="F12" s="25">
        <v>76</v>
      </c>
      <c r="G12" s="25" t="s">
        <v>58</v>
      </c>
      <c r="H12" s="25" t="s">
        <v>59</v>
      </c>
      <c r="I12" s="50">
        <v>-19.053055555555559</v>
      </c>
      <c r="J12" s="50">
        <v>-57.664444444444442</v>
      </c>
      <c r="K12" s="25" t="s">
        <v>62</v>
      </c>
      <c r="L12" s="16" t="s">
        <v>73</v>
      </c>
      <c r="M12" s="25" t="s">
        <v>60</v>
      </c>
      <c r="N12" s="26" t="s">
        <v>61</v>
      </c>
      <c r="O12" s="25">
        <v>14596.246090000001</v>
      </c>
      <c r="P12" s="25">
        <v>215313498</v>
      </c>
      <c r="Q12" s="27">
        <v>0.37923990200000002</v>
      </c>
      <c r="R12" s="25" t="s">
        <v>64</v>
      </c>
      <c r="S12" s="28" t="s">
        <v>65</v>
      </c>
      <c r="T12" s="39">
        <v>2.9923774475049689</v>
      </c>
      <c r="U12" s="26" t="s">
        <v>66</v>
      </c>
      <c r="V12" s="26" t="s">
        <v>1160</v>
      </c>
      <c r="W12" s="26">
        <v>55322.705533569497</v>
      </c>
      <c r="X12" s="16" t="s">
        <v>67</v>
      </c>
      <c r="Y12" s="26">
        <v>5.5322705533569501</v>
      </c>
      <c r="Z12" s="26" t="s">
        <v>67</v>
      </c>
      <c r="AA12" s="26">
        <v>145710.775960787</v>
      </c>
      <c r="AB12" s="29" t="s">
        <v>68</v>
      </c>
      <c r="AC12" s="29" t="s">
        <v>1149</v>
      </c>
      <c r="AD12" s="39">
        <v>1</v>
      </c>
      <c r="AE12" s="26">
        <v>13</v>
      </c>
      <c r="AF12" s="29" t="s">
        <v>1151</v>
      </c>
      <c r="AG12" s="25">
        <v>61946.486832773502</v>
      </c>
      <c r="AH12" s="25" t="s">
        <v>115</v>
      </c>
      <c r="AI12" s="25" t="s">
        <v>69</v>
      </c>
      <c r="AJ12" s="25" t="s">
        <v>115</v>
      </c>
      <c r="AK12" s="17" t="s">
        <v>116</v>
      </c>
      <c r="AL12" s="27">
        <f t="shared" si="1"/>
        <v>0.60123159364227419</v>
      </c>
      <c r="AM12" s="27">
        <f t="shared" si="2"/>
        <v>4.7429112610772952</v>
      </c>
      <c r="AN12" s="27">
        <f t="shared" si="3"/>
        <v>0.81506416403104942</v>
      </c>
      <c r="AO12" s="27">
        <f t="shared" si="4"/>
        <v>5.1634946514825861</v>
      </c>
      <c r="AP12" s="27">
        <f t="shared" si="5"/>
        <v>0.21936871100576269</v>
      </c>
      <c r="AQ12" s="27">
        <f t="shared" si="6"/>
        <v>0.44489607037618423</v>
      </c>
      <c r="AR12" s="27">
        <f t="shared" si="7"/>
        <v>0.18616608242384505</v>
      </c>
      <c r="AS12" s="27">
        <f t="shared" si="8"/>
        <v>0.53592170845318521</v>
      </c>
      <c r="AT12" s="27">
        <f t="shared" si="10"/>
        <v>34.700000000000003</v>
      </c>
      <c r="AU12" s="27" t="b">
        <f t="shared" si="9"/>
        <v>0</v>
      </c>
      <c r="AV12" s="11"/>
    </row>
    <row r="13" spans="1:48">
      <c r="A13" s="25" t="s">
        <v>113</v>
      </c>
      <c r="B13" s="26" t="s">
        <v>1088</v>
      </c>
      <c r="C13" s="26" t="s">
        <v>1089</v>
      </c>
      <c r="D13" s="26" t="s">
        <v>107</v>
      </c>
      <c r="E13" s="25" t="s">
        <v>108</v>
      </c>
      <c r="F13" s="25">
        <v>76</v>
      </c>
      <c r="G13" s="25" t="s">
        <v>58</v>
      </c>
      <c r="H13" s="25" t="s">
        <v>59</v>
      </c>
      <c r="I13" s="50">
        <v>-3.463055555555556</v>
      </c>
      <c r="J13" s="50">
        <v>-39.582500000000003</v>
      </c>
      <c r="K13" s="25" t="s">
        <v>859</v>
      </c>
      <c r="L13" s="16" t="s">
        <v>73</v>
      </c>
      <c r="M13" s="25" t="s">
        <v>60</v>
      </c>
      <c r="N13" s="26" t="s">
        <v>61</v>
      </c>
      <c r="O13" s="25">
        <v>14596.246090000001</v>
      </c>
      <c r="P13" s="25">
        <v>215313498</v>
      </c>
      <c r="Q13" s="27">
        <v>0.37923990200000002</v>
      </c>
      <c r="R13" s="25" t="s">
        <v>64</v>
      </c>
      <c r="S13" s="28" t="s">
        <v>65</v>
      </c>
      <c r="T13" s="39">
        <v>6.1335244918499487</v>
      </c>
      <c r="U13" s="26" t="s">
        <v>66</v>
      </c>
      <c r="V13" s="26" t="s">
        <v>1160</v>
      </c>
      <c r="W13" s="26">
        <v>29180.215559947253</v>
      </c>
      <c r="X13" s="16" t="s">
        <v>67</v>
      </c>
      <c r="Y13" s="52">
        <f>0.0001 *W13</f>
        <v>2.9180215559947253</v>
      </c>
      <c r="Z13" s="26" t="s">
        <v>67</v>
      </c>
      <c r="AA13" s="29">
        <v>77701.057563133698</v>
      </c>
      <c r="AB13" s="29" t="s">
        <v>68</v>
      </c>
      <c r="AC13" s="29" t="s">
        <v>1149</v>
      </c>
      <c r="AD13" s="39">
        <v>0.86956521739130399</v>
      </c>
      <c r="AE13" s="26">
        <v>23</v>
      </c>
      <c r="AF13" s="29" t="s">
        <v>1151</v>
      </c>
      <c r="AG13" s="53">
        <v>32673.95948061355</v>
      </c>
      <c r="AH13" s="25" t="s">
        <v>65</v>
      </c>
      <c r="AI13" s="25" t="s">
        <v>69</v>
      </c>
      <c r="AJ13" s="25" t="s">
        <v>65</v>
      </c>
      <c r="AK13" s="17" t="s">
        <v>70</v>
      </c>
      <c r="AL13" s="27">
        <f t="shared" si="1"/>
        <v>0.85330415666362913</v>
      </c>
      <c r="AM13" s="27">
        <f t="shared" si="2"/>
        <v>4.4651033787151491</v>
      </c>
      <c r="AN13" s="27">
        <f t="shared" si="3"/>
        <v>0.59306682104713215</v>
      </c>
      <c r="AO13" s="27">
        <f t="shared" si="4"/>
        <v>4.8904325191417621</v>
      </c>
      <c r="AP13" s="27">
        <f t="shared" si="5"/>
        <v>0.31488557426351277</v>
      </c>
      <c r="AQ13" s="27">
        <f t="shared" si="6"/>
        <v>0.3565849654967404</v>
      </c>
      <c r="AR13" s="27">
        <f t="shared" si="7"/>
        <v>0.12944076260245982</v>
      </c>
      <c r="AS13" s="27">
        <f t="shared" si="8"/>
        <v>0.46698337479244972</v>
      </c>
      <c r="AT13" s="27">
        <f t="shared" si="10"/>
        <v>31.7</v>
      </c>
      <c r="AU13" s="27" t="b">
        <f t="shared" si="9"/>
        <v>0</v>
      </c>
      <c r="AV13"/>
    </row>
    <row r="14" spans="1:48">
      <c r="A14" s="25" t="s">
        <v>117</v>
      </c>
      <c r="B14" s="26" t="s">
        <v>1090</v>
      </c>
      <c r="C14" s="26" t="s">
        <v>1091</v>
      </c>
      <c r="D14" s="26" t="s">
        <v>107</v>
      </c>
      <c r="E14" s="25" t="s">
        <v>108</v>
      </c>
      <c r="F14" s="25">
        <v>76</v>
      </c>
      <c r="G14" s="25" t="s">
        <v>58</v>
      </c>
      <c r="H14" s="25" t="s">
        <v>59</v>
      </c>
      <c r="I14" s="50">
        <v>-14.71222222222222</v>
      </c>
      <c r="J14" s="50">
        <v>-39.139722222222218</v>
      </c>
      <c r="K14" s="25" t="s">
        <v>859</v>
      </c>
      <c r="L14" s="16" t="s">
        <v>73</v>
      </c>
      <c r="M14" s="25" t="s">
        <v>60</v>
      </c>
      <c r="N14" s="26" t="s">
        <v>61</v>
      </c>
      <c r="O14" s="25">
        <v>14596.246090000001</v>
      </c>
      <c r="P14" s="25">
        <v>215313498</v>
      </c>
      <c r="Q14" s="27">
        <v>0.37923990200000002</v>
      </c>
      <c r="R14" s="25" t="s">
        <v>64</v>
      </c>
      <c r="S14" s="28" t="s">
        <v>65</v>
      </c>
      <c r="T14" s="39">
        <v>7.2614271237745882</v>
      </c>
      <c r="U14" s="26" t="s">
        <v>66</v>
      </c>
      <c r="V14" s="26" t="s">
        <v>1160</v>
      </c>
      <c r="W14" s="26">
        <v>6471.0442229643777</v>
      </c>
      <c r="X14" s="16" t="s">
        <v>67</v>
      </c>
      <c r="Y14" s="52">
        <f>0.0001 *W14</f>
        <v>0.64710442229643783</v>
      </c>
      <c r="Z14" s="26" t="s">
        <v>67</v>
      </c>
      <c r="AA14" s="29">
        <v>18116.5948433591</v>
      </c>
      <c r="AB14" s="29" t="s">
        <v>89</v>
      </c>
      <c r="AC14" s="29" t="s">
        <v>70</v>
      </c>
      <c r="AD14" s="39" t="s">
        <v>70</v>
      </c>
      <c r="AE14" s="29" t="s">
        <v>70</v>
      </c>
      <c r="AF14" s="29" t="s">
        <v>70</v>
      </c>
      <c r="AG14" s="53">
        <v>7245.8216185562178</v>
      </c>
      <c r="AH14" s="25" t="s">
        <v>65</v>
      </c>
      <c r="AI14" s="25" t="s">
        <v>69</v>
      </c>
      <c r="AJ14" s="25" t="s">
        <v>65</v>
      </c>
      <c r="AK14" s="17" t="s">
        <v>70</v>
      </c>
      <c r="AL14" s="27">
        <f t="shared" si="1"/>
        <v>0.91705507618770643</v>
      </c>
      <c r="AM14" s="27">
        <f t="shared" si="2"/>
        <v>3.8110414761140716</v>
      </c>
      <c r="AN14" s="27">
        <f t="shared" si="3"/>
        <v>0.21672113322534706</v>
      </c>
      <c r="AO14" s="27">
        <f t="shared" si="4"/>
        <v>4.2581005434739474</v>
      </c>
      <c r="AP14" s="27">
        <f t="shared" si="5"/>
        <v>0.33904245904998298</v>
      </c>
      <c r="AQ14" s="27">
        <f t="shared" si="6"/>
        <v>0.14866815339219389</v>
      </c>
      <c r="AR14" s="27">
        <f t="shared" si="7"/>
        <v>3.3275965230823844E-2</v>
      </c>
      <c r="AS14" s="27">
        <f t="shared" si="8"/>
        <v>0.30734237166525524</v>
      </c>
      <c r="AT14" s="27">
        <f t="shared" si="10"/>
        <v>20.7</v>
      </c>
      <c r="AU14" s="27" t="b">
        <f t="shared" si="9"/>
        <v>0</v>
      </c>
      <c r="AV14"/>
    </row>
    <row r="15" spans="1:48" s="30" customFormat="1">
      <c r="A15" s="25" t="s">
        <v>118</v>
      </c>
      <c r="B15" s="26" t="s">
        <v>879</v>
      </c>
      <c r="C15" s="26" t="s">
        <v>880</v>
      </c>
      <c r="D15" s="26" t="s">
        <v>107</v>
      </c>
      <c r="E15" s="25" t="s">
        <v>108</v>
      </c>
      <c r="F15" s="25">
        <v>76</v>
      </c>
      <c r="G15" s="25" t="s">
        <v>58</v>
      </c>
      <c r="H15" s="25" t="s">
        <v>59</v>
      </c>
      <c r="I15" s="50">
        <v>-17.550555555555551</v>
      </c>
      <c r="J15" s="50">
        <v>-39.780833333333327</v>
      </c>
      <c r="K15" s="25" t="s">
        <v>62</v>
      </c>
      <c r="L15" s="16" t="s">
        <v>73</v>
      </c>
      <c r="M15" s="25" t="s">
        <v>60</v>
      </c>
      <c r="N15" s="26" t="s">
        <v>61</v>
      </c>
      <c r="O15" s="25">
        <v>14596.246090000001</v>
      </c>
      <c r="P15" s="25">
        <v>215313498</v>
      </c>
      <c r="Q15" s="27">
        <v>0.37923990200000002</v>
      </c>
      <c r="R15" s="25" t="s">
        <v>64</v>
      </c>
      <c r="S15" s="28" t="s">
        <v>65</v>
      </c>
      <c r="T15" s="39">
        <v>0.91781790615087377</v>
      </c>
      <c r="U15" s="26" t="s">
        <v>66</v>
      </c>
      <c r="V15" s="26" t="s">
        <v>1159</v>
      </c>
      <c r="W15" s="26">
        <v>61492.857826099949</v>
      </c>
      <c r="X15" s="16" t="s">
        <v>67</v>
      </c>
      <c r="Y15" s="26">
        <v>6.1492857826099954</v>
      </c>
      <c r="Z15" s="26" t="s">
        <v>67</v>
      </c>
      <c r="AA15" s="26">
        <v>162144.982216734</v>
      </c>
      <c r="AB15" s="29" t="s">
        <v>89</v>
      </c>
      <c r="AC15" s="29" t="s">
        <v>70</v>
      </c>
      <c r="AD15" s="39" t="s">
        <v>70</v>
      </c>
      <c r="AE15" s="29" t="s">
        <v>70</v>
      </c>
      <c r="AF15" s="29" t="s">
        <v>70</v>
      </c>
      <c r="AG15" s="25">
        <v>68855.390763972493</v>
      </c>
      <c r="AH15" s="25" t="s">
        <v>111</v>
      </c>
      <c r="AI15" s="25" t="s">
        <v>69</v>
      </c>
      <c r="AJ15" s="25" t="s">
        <v>111</v>
      </c>
      <c r="AK15" s="17" t="s">
        <v>112</v>
      </c>
      <c r="AL15" s="27">
        <f t="shared" si="1"/>
        <v>0.2828073692016318</v>
      </c>
      <c r="AM15" s="27">
        <f t="shared" si="2"/>
        <v>4.7888317394266942</v>
      </c>
      <c r="AN15" s="27">
        <f t="shared" si="3"/>
        <v>0.85426265772213683</v>
      </c>
      <c r="AO15" s="27">
        <f t="shared" si="4"/>
        <v>5.209906191845131</v>
      </c>
      <c r="AP15" s="27">
        <f t="shared" si="5"/>
        <v>9.8709474080896378E-2</v>
      </c>
      <c r="AQ15" s="27">
        <f t="shared" si="6"/>
        <v>0.45949352580166269</v>
      </c>
      <c r="AR15" s="27">
        <f t="shared" si="7"/>
        <v>0.1961821801899547</v>
      </c>
      <c r="AS15" s="27">
        <f t="shared" si="8"/>
        <v>0.54763894741192998</v>
      </c>
      <c r="AT15" s="27">
        <f t="shared" si="10"/>
        <v>32.6</v>
      </c>
      <c r="AU15" s="27" t="b">
        <f t="shared" si="9"/>
        <v>0</v>
      </c>
      <c r="AV15" s="11"/>
    </row>
    <row r="16" spans="1:48" s="30" customFormat="1">
      <c r="A16" s="25" t="s">
        <v>127</v>
      </c>
      <c r="B16" s="26" t="s">
        <v>121</v>
      </c>
      <c r="C16" s="26" t="s">
        <v>122</v>
      </c>
      <c r="D16" s="26" t="s">
        <v>128</v>
      </c>
      <c r="E16" s="25" t="s">
        <v>124</v>
      </c>
      <c r="F16" s="25">
        <v>120</v>
      </c>
      <c r="G16" s="25" t="s">
        <v>125</v>
      </c>
      <c r="H16" s="25" t="s">
        <v>126</v>
      </c>
      <c r="I16" s="50">
        <v>4.0402777777777779</v>
      </c>
      <c r="J16" s="50">
        <v>9.7841666666666658</v>
      </c>
      <c r="K16" s="25" t="s">
        <v>62</v>
      </c>
      <c r="L16" s="16" t="s">
        <v>73</v>
      </c>
      <c r="M16" s="25" t="s">
        <v>88</v>
      </c>
      <c r="N16" s="26" t="s">
        <v>61</v>
      </c>
      <c r="O16" s="25">
        <v>3262.763672</v>
      </c>
      <c r="P16" s="25">
        <v>27914536</v>
      </c>
      <c r="Q16" s="27">
        <v>0.15102786700000001</v>
      </c>
      <c r="R16" s="25" t="s">
        <v>64</v>
      </c>
      <c r="S16" s="28" t="s">
        <v>65</v>
      </c>
      <c r="T16" s="39">
        <v>9.071911183277459</v>
      </c>
      <c r="U16" s="26" t="s">
        <v>66</v>
      </c>
      <c r="V16" s="26" t="s">
        <v>1160</v>
      </c>
      <c r="W16" s="26">
        <v>480729.14493608044</v>
      </c>
      <c r="X16" s="16" t="s">
        <v>67</v>
      </c>
      <c r="Y16" s="26">
        <v>2000</v>
      </c>
      <c r="Z16" s="26" t="s">
        <v>67</v>
      </c>
      <c r="AA16" s="26">
        <v>3102857.26433169</v>
      </c>
      <c r="AB16" s="29" t="s">
        <v>68</v>
      </c>
      <c r="AC16" s="29" t="s">
        <v>1149</v>
      </c>
      <c r="AD16" s="39">
        <v>1</v>
      </c>
      <c r="AE16" s="26">
        <v>1</v>
      </c>
      <c r="AF16" s="29" t="s">
        <v>1151</v>
      </c>
      <c r="AG16" s="25">
        <v>287086.28868575091</v>
      </c>
      <c r="AH16" s="25" t="s">
        <v>65</v>
      </c>
      <c r="AI16" s="25" t="s">
        <v>69</v>
      </c>
      <c r="AJ16" s="25" t="s">
        <v>65</v>
      </c>
      <c r="AK16" s="17" t="s">
        <v>70</v>
      </c>
      <c r="AL16" s="27">
        <f t="shared" si="1"/>
        <v>1.0031118873954206</v>
      </c>
      <c r="AM16" s="27">
        <f t="shared" si="2"/>
        <v>5.6819013560976881</v>
      </c>
      <c r="AN16" s="27">
        <f t="shared" si="3"/>
        <v>3.3012470886362113</v>
      </c>
      <c r="AO16" s="27">
        <f t="shared" si="4"/>
        <v>6.4917619378708231</v>
      </c>
      <c r="AP16" s="27">
        <f t="shared" si="5"/>
        <v>0.3716516274973593</v>
      </c>
      <c r="AQ16" s="27">
        <f t="shared" si="6"/>
        <v>0.74338743086971881</v>
      </c>
      <c r="AR16" s="27">
        <f t="shared" si="7"/>
        <v>0.82144180075940965</v>
      </c>
      <c r="AS16" s="27">
        <f t="shared" si="8"/>
        <v>0.87126126137728011</v>
      </c>
      <c r="AT16" s="27">
        <f t="shared" si="10"/>
        <v>70.2</v>
      </c>
      <c r="AU16" s="27" t="b">
        <f t="shared" si="9"/>
        <v>0</v>
      </c>
      <c r="AV16" s="11"/>
    </row>
    <row r="17" spans="1:48" s="30" customFormat="1">
      <c r="A17" s="25" t="s">
        <v>120</v>
      </c>
      <c r="B17" s="26" t="s">
        <v>861</v>
      </c>
      <c r="C17" s="26" t="s">
        <v>862</v>
      </c>
      <c r="D17" s="26" t="s">
        <v>123</v>
      </c>
      <c r="E17" s="25" t="s">
        <v>129</v>
      </c>
      <c r="F17" s="25">
        <v>156</v>
      </c>
      <c r="G17" s="25" t="s">
        <v>86</v>
      </c>
      <c r="H17" s="25" t="s">
        <v>130</v>
      </c>
      <c r="I17" s="50">
        <v>24.88388888888889</v>
      </c>
      <c r="J17" s="50">
        <v>120.95444444444441</v>
      </c>
      <c r="K17" s="25" t="s">
        <v>62</v>
      </c>
      <c r="L17" s="16" t="s">
        <v>73</v>
      </c>
      <c r="M17" s="25" t="s">
        <v>60</v>
      </c>
      <c r="N17" s="26" t="s">
        <v>61</v>
      </c>
      <c r="O17" s="25">
        <v>16092.30078</v>
      </c>
      <c r="P17" s="25">
        <v>1412175000</v>
      </c>
      <c r="Q17" s="27">
        <v>0.282190895</v>
      </c>
      <c r="R17" s="25" t="s">
        <v>64</v>
      </c>
      <c r="S17" s="28">
        <v>2003</v>
      </c>
      <c r="T17" s="39">
        <v>4.8948910874880376</v>
      </c>
      <c r="U17" s="26" t="s">
        <v>66</v>
      </c>
      <c r="V17" s="26" t="s">
        <v>1159</v>
      </c>
      <c r="W17" s="26">
        <f>3000*365</f>
        <v>1095000</v>
      </c>
      <c r="X17" s="51" t="s">
        <v>863</v>
      </c>
      <c r="Y17" s="26">
        <v>8.1722377704685307</v>
      </c>
      <c r="Z17" s="26" t="s">
        <v>67</v>
      </c>
      <c r="AA17" s="26">
        <v>482526.34704457101</v>
      </c>
      <c r="AB17" s="29" t="s">
        <v>68</v>
      </c>
      <c r="AC17" s="29" t="s">
        <v>1149</v>
      </c>
      <c r="AD17" s="39">
        <v>1</v>
      </c>
      <c r="AE17" s="26">
        <v>2</v>
      </c>
      <c r="AF17" s="29" t="s">
        <v>1151</v>
      </c>
      <c r="AG17" s="25">
        <v>1120569.545517172</v>
      </c>
      <c r="AH17" s="25" t="s">
        <v>65</v>
      </c>
      <c r="AI17" s="25" t="s">
        <v>69</v>
      </c>
      <c r="AJ17" s="25" t="s">
        <v>65</v>
      </c>
      <c r="AK17" s="17" t="s">
        <v>70</v>
      </c>
      <c r="AL17" s="27">
        <f t="shared" si="1"/>
        <v>0.77047578559058116</v>
      </c>
      <c r="AM17" s="27">
        <f t="shared" si="2"/>
        <v>6.039414515791921</v>
      </c>
      <c r="AN17" s="27">
        <f t="shared" si="3"/>
        <v>0.96247530435096751</v>
      </c>
      <c r="AO17" s="27">
        <f t="shared" si="4"/>
        <v>5.6835219318435302</v>
      </c>
      <c r="AP17" s="27">
        <f t="shared" si="5"/>
        <v>0.28349974591782223</v>
      </c>
      <c r="AQ17" s="27">
        <f t="shared" si="6"/>
        <v>0.85703568977830324</v>
      </c>
      <c r="AR17" s="27">
        <f t="shared" si="7"/>
        <v>0.22383294801551226</v>
      </c>
      <c r="AS17" s="27">
        <f t="shared" si="8"/>
        <v>0.66720982906839177</v>
      </c>
      <c r="AT17" s="27">
        <f t="shared" si="10"/>
        <v>50.8</v>
      </c>
      <c r="AU17" s="27" t="b">
        <f t="shared" si="9"/>
        <v>0</v>
      </c>
      <c r="AV17" s="11"/>
    </row>
    <row r="18" spans="1:48">
      <c r="A18" s="25" t="s">
        <v>131</v>
      </c>
      <c r="B18" s="26" t="s">
        <v>1092</v>
      </c>
      <c r="C18" s="26" t="s">
        <v>1093</v>
      </c>
      <c r="D18" s="26" t="s">
        <v>132</v>
      </c>
      <c r="E18" s="25" t="s">
        <v>133</v>
      </c>
      <c r="F18" s="25">
        <v>170</v>
      </c>
      <c r="G18" s="25" t="s">
        <v>58</v>
      </c>
      <c r="H18" s="25" t="s">
        <v>59</v>
      </c>
      <c r="I18" s="50">
        <v>5.5572222222222223</v>
      </c>
      <c r="J18" s="50">
        <v>-74.703333333333333</v>
      </c>
      <c r="K18" s="25" t="s">
        <v>859</v>
      </c>
      <c r="L18" s="16" t="s">
        <v>1094</v>
      </c>
      <c r="M18" s="25" t="s">
        <v>60</v>
      </c>
      <c r="N18" s="26" t="s">
        <v>61</v>
      </c>
      <c r="O18" s="25">
        <v>12523.00684</v>
      </c>
      <c r="P18" s="25">
        <v>51874024</v>
      </c>
      <c r="Q18" s="27">
        <v>0.261818522</v>
      </c>
      <c r="R18" s="25" t="s">
        <v>64</v>
      </c>
      <c r="S18" s="28" t="s">
        <v>65</v>
      </c>
      <c r="T18" s="39">
        <v>22.302855558430458</v>
      </c>
      <c r="U18" s="26" t="s">
        <v>66</v>
      </c>
      <c r="V18" s="26" t="s">
        <v>1159</v>
      </c>
      <c r="W18" s="26">
        <v>2203.7695629441296</v>
      </c>
      <c r="X18" s="16" t="s">
        <v>67</v>
      </c>
      <c r="Y18" s="52">
        <f>0.0001 *W18</f>
        <v>0.22037695629441298</v>
      </c>
      <c r="Z18" s="26" t="s">
        <v>67</v>
      </c>
      <c r="AA18" s="29">
        <v>18213.666470271801</v>
      </c>
      <c r="AB18" s="29" t="s">
        <v>89</v>
      </c>
      <c r="AC18" s="29" t="s">
        <v>70</v>
      </c>
      <c r="AD18" s="39" t="s">
        <v>70</v>
      </c>
      <c r="AE18" s="29" t="s">
        <v>70</v>
      </c>
      <c r="AF18" s="29" t="s">
        <v>70</v>
      </c>
      <c r="AG18" s="53">
        <v>2467.6266443720565</v>
      </c>
      <c r="AH18" s="25" t="s">
        <v>1095</v>
      </c>
      <c r="AI18" s="25" t="s">
        <v>69</v>
      </c>
      <c r="AJ18" s="25" t="s">
        <v>1095</v>
      </c>
      <c r="AK18" s="17" t="s">
        <v>1096</v>
      </c>
      <c r="AL18" s="27">
        <f t="shared" si="1"/>
        <v>1.3674091432269246</v>
      </c>
      <c r="AM18" s="27">
        <f t="shared" si="2"/>
        <v>3.3433632047918227</v>
      </c>
      <c r="AN18" s="27">
        <f t="shared" si="3"/>
        <v>8.6493998504404215E-2</v>
      </c>
      <c r="AO18" s="27">
        <f t="shared" si="4"/>
        <v>4.2604212232613454</v>
      </c>
      <c r="AP18" s="27">
        <f t="shared" si="5"/>
        <v>0.50969335148888906</v>
      </c>
      <c r="AQ18" s="27">
        <f t="shared" si="6"/>
        <v>0</v>
      </c>
      <c r="AR18" s="27">
        <f t="shared" si="7"/>
        <v>0</v>
      </c>
      <c r="AS18" s="27">
        <f t="shared" si="8"/>
        <v>0.30792825955872444</v>
      </c>
      <c r="AT18" s="27">
        <f t="shared" si="10"/>
        <v>20.399999999999999</v>
      </c>
      <c r="AU18" s="27" t="b">
        <f t="shared" si="9"/>
        <v>0</v>
      </c>
      <c r="AV18"/>
    </row>
    <row r="19" spans="1:48" s="30" customFormat="1">
      <c r="A19" s="25" t="s">
        <v>134</v>
      </c>
      <c r="B19" s="26" t="s">
        <v>876</v>
      </c>
      <c r="C19" s="26" t="s">
        <v>135</v>
      </c>
      <c r="D19" s="26" t="s">
        <v>135</v>
      </c>
      <c r="E19" s="25" t="s">
        <v>136</v>
      </c>
      <c r="F19" s="25">
        <v>262</v>
      </c>
      <c r="G19" s="25" t="s">
        <v>125</v>
      </c>
      <c r="H19" s="25" t="s">
        <v>137</v>
      </c>
      <c r="I19" s="50">
        <v>11.52346833</v>
      </c>
      <c r="J19" s="50">
        <v>43.163898510000003</v>
      </c>
      <c r="K19" s="25" t="s">
        <v>62</v>
      </c>
      <c r="L19" s="16" t="s">
        <v>138</v>
      </c>
      <c r="M19" s="25" t="s">
        <v>88</v>
      </c>
      <c r="N19" s="26" t="s">
        <v>61</v>
      </c>
      <c r="O19" s="25">
        <v>6596.7753910000001</v>
      </c>
      <c r="P19" s="25">
        <v>1120849</v>
      </c>
      <c r="Q19" s="27">
        <v>0.15410615499999999</v>
      </c>
      <c r="R19" s="25" t="s">
        <v>64</v>
      </c>
      <c r="S19" s="28">
        <v>2019</v>
      </c>
      <c r="T19" s="39">
        <v>3.9121339697399176</v>
      </c>
      <c r="U19" s="26" t="s">
        <v>66</v>
      </c>
      <c r="V19" s="26" t="s">
        <v>1160</v>
      </c>
      <c r="W19" s="26">
        <v>100925.87128067696</v>
      </c>
      <c r="X19" s="16" t="s">
        <v>79</v>
      </c>
      <c r="Y19" s="26">
        <v>10.092587128067697</v>
      </c>
      <c r="Z19" s="26" t="s">
        <v>67</v>
      </c>
      <c r="AA19" s="26">
        <v>670619.176841693</v>
      </c>
      <c r="AB19" s="29" t="s">
        <v>89</v>
      </c>
      <c r="AC19" s="29" t="s">
        <v>70</v>
      </c>
      <c r="AD19" s="39" t="s">
        <v>70</v>
      </c>
      <c r="AE19" s="29" t="s">
        <v>70</v>
      </c>
      <c r="AF19" s="29" t="s">
        <v>70</v>
      </c>
      <c r="AG19" s="25">
        <v>93911.74352186099</v>
      </c>
      <c r="AH19" s="25" t="s">
        <v>874</v>
      </c>
      <c r="AI19" s="25" t="s">
        <v>69</v>
      </c>
      <c r="AJ19" s="25" t="s">
        <v>874</v>
      </c>
      <c r="AK19" s="17" t="s">
        <v>875</v>
      </c>
      <c r="AL19" s="27">
        <f t="shared" si="1"/>
        <v>0.69127020290619168</v>
      </c>
      <c r="AM19" s="27">
        <f t="shared" si="2"/>
        <v>5.0040068103918696</v>
      </c>
      <c r="AN19" s="27">
        <f t="shared" si="3"/>
        <v>1.0450328486205431</v>
      </c>
      <c r="AO19" s="27">
        <f t="shared" si="4"/>
        <v>5.8264766158377865</v>
      </c>
      <c r="AP19" s="27">
        <f t="shared" si="5"/>
        <v>0.25348668650415523</v>
      </c>
      <c r="AQ19" s="27">
        <f t="shared" si="6"/>
        <v>0.52789456647003441</v>
      </c>
      <c r="AR19" s="27">
        <f t="shared" si="7"/>
        <v>0.24492825951524996</v>
      </c>
      <c r="AS19" s="27">
        <f t="shared" si="8"/>
        <v>0.70330072757225459</v>
      </c>
      <c r="AT19" s="27">
        <f t="shared" si="10"/>
        <v>43.2</v>
      </c>
      <c r="AU19" s="27" t="b">
        <f t="shared" si="9"/>
        <v>0</v>
      </c>
      <c r="AV19" s="11"/>
    </row>
    <row r="20" spans="1:48" s="30" customFormat="1">
      <c r="A20" s="25" t="s">
        <v>139</v>
      </c>
      <c r="B20" s="26" t="s">
        <v>873</v>
      </c>
      <c r="C20" s="26" t="s">
        <v>150</v>
      </c>
      <c r="D20" s="26" t="s">
        <v>141</v>
      </c>
      <c r="E20" s="25" t="s">
        <v>142</v>
      </c>
      <c r="F20" s="25">
        <v>214</v>
      </c>
      <c r="G20" s="25" t="s">
        <v>58</v>
      </c>
      <c r="H20" s="25" t="s">
        <v>143</v>
      </c>
      <c r="I20" s="50">
        <v>18.53972222222222</v>
      </c>
      <c r="J20" s="50">
        <v>-69.844999999999999</v>
      </c>
      <c r="K20" s="25" t="s">
        <v>62</v>
      </c>
      <c r="L20" s="16" t="s">
        <v>73</v>
      </c>
      <c r="M20" s="25" t="s">
        <v>60</v>
      </c>
      <c r="N20" s="26" t="s">
        <v>61</v>
      </c>
      <c r="O20" s="25">
        <v>15328.35254</v>
      </c>
      <c r="P20" s="25">
        <v>11228821</v>
      </c>
      <c r="Q20" s="27">
        <v>0.38599524299999999</v>
      </c>
      <c r="R20" s="25" t="s">
        <v>64</v>
      </c>
      <c r="S20" s="28" t="s">
        <v>65</v>
      </c>
      <c r="T20" s="39">
        <v>2.1276370872622823</v>
      </c>
      <c r="U20" s="26" t="s">
        <v>66</v>
      </c>
      <c r="V20" s="26" t="s">
        <v>1160</v>
      </c>
      <c r="W20" s="26">
        <v>792933.32108532684</v>
      </c>
      <c r="X20" s="16" t="s">
        <v>67</v>
      </c>
      <c r="Y20" s="26">
        <v>79.293332108532681</v>
      </c>
      <c r="Z20" s="26" t="s">
        <v>67</v>
      </c>
      <c r="AA20" s="26">
        <v>2066504.9315256299</v>
      </c>
      <c r="AB20" s="29" t="s">
        <v>89</v>
      </c>
      <c r="AC20" s="29" t="s">
        <v>70</v>
      </c>
      <c r="AD20" s="39" t="s">
        <v>70</v>
      </c>
      <c r="AE20" s="29" t="s">
        <v>70</v>
      </c>
      <c r="AF20" s="29" t="s">
        <v>70</v>
      </c>
      <c r="AG20" s="25">
        <v>0</v>
      </c>
      <c r="AH20" s="25" t="s">
        <v>65</v>
      </c>
      <c r="AI20" s="25" t="s">
        <v>69</v>
      </c>
      <c r="AJ20" s="25" t="s">
        <v>65</v>
      </c>
      <c r="AK20" s="17" t="s">
        <v>70</v>
      </c>
      <c r="AL20" s="27">
        <f t="shared" si="1"/>
        <v>0.49521635431646149</v>
      </c>
      <c r="AM20" s="27">
        <f t="shared" si="2"/>
        <v>5.8992372161051057</v>
      </c>
      <c r="AN20" s="27">
        <f t="shared" si="3"/>
        <v>1.9046794811602792</v>
      </c>
      <c r="AO20" s="27">
        <f t="shared" si="4"/>
        <v>6.3152366561820399</v>
      </c>
      <c r="AP20" s="27">
        <f t="shared" si="5"/>
        <v>0.17919677401846182</v>
      </c>
      <c r="AQ20" s="27">
        <f t="shared" si="6"/>
        <v>0.81247535509988611</v>
      </c>
      <c r="AR20" s="27">
        <f t="shared" si="7"/>
        <v>0.46458733069488162</v>
      </c>
      <c r="AS20" s="27">
        <f t="shared" si="8"/>
        <v>0.82669499851140826</v>
      </c>
      <c r="AT20" s="27">
        <f t="shared" si="10"/>
        <v>57.1</v>
      </c>
      <c r="AU20" s="27" t="b">
        <f t="shared" si="9"/>
        <v>0</v>
      </c>
      <c r="AV20" s="11"/>
    </row>
    <row r="21" spans="1:48" s="30" customFormat="1">
      <c r="A21" s="25" t="s">
        <v>149</v>
      </c>
      <c r="B21" s="26" t="s">
        <v>877</v>
      </c>
      <c r="C21" s="26" t="s">
        <v>140</v>
      </c>
      <c r="D21" s="26" t="s">
        <v>141</v>
      </c>
      <c r="E21" s="25" t="s">
        <v>142</v>
      </c>
      <c r="F21" s="25">
        <v>214</v>
      </c>
      <c r="G21" s="25" t="s">
        <v>58</v>
      </c>
      <c r="H21" s="25" t="s">
        <v>143</v>
      </c>
      <c r="I21" s="50">
        <v>18.560897199999999</v>
      </c>
      <c r="J21" s="50">
        <v>-69.968021500000006</v>
      </c>
      <c r="K21" s="25" t="s">
        <v>62</v>
      </c>
      <c r="L21" s="16" t="s">
        <v>101</v>
      </c>
      <c r="M21" s="25" t="s">
        <v>60</v>
      </c>
      <c r="N21" s="26" t="s">
        <v>61</v>
      </c>
      <c r="O21" s="25">
        <v>15328.35254</v>
      </c>
      <c r="P21" s="25">
        <v>11228821</v>
      </c>
      <c r="Q21" s="27">
        <v>0.38599524299999999</v>
      </c>
      <c r="R21" s="25" t="s">
        <v>64</v>
      </c>
      <c r="S21" s="28">
        <v>1996</v>
      </c>
      <c r="T21" s="39">
        <v>113.48923673269621</v>
      </c>
      <c r="U21" s="26" t="s">
        <v>144</v>
      </c>
      <c r="V21" s="26" t="s">
        <v>1159</v>
      </c>
      <c r="W21" s="26">
        <v>1460000</v>
      </c>
      <c r="X21" s="16" t="s">
        <v>145</v>
      </c>
      <c r="Y21" s="26">
        <v>146</v>
      </c>
      <c r="Z21" s="26" t="s">
        <v>67</v>
      </c>
      <c r="AA21" s="26">
        <v>1496113.14060037</v>
      </c>
      <c r="AB21" s="29" t="s">
        <v>68</v>
      </c>
      <c r="AC21" s="29" t="s">
        <v>1149</v>
      </c>
      <c r="AD21" s="39">
        <v>1.0235294117647</v>
      </c>
      <c r="AE21" s="26">
        <v>85</v>
      </c>
      <c r="AF21" s="29" t="s">
        <v>1151</v>
      </c>
      <c r="AG21" s="25">
        <v>0</v>
      </c>
      <c r="AH21" s="25" t="s">
        <v>146</v>
      </c>
      <c r="AI21" s="25" t="s">
        <v>69</v>
      </c>
      <c r="AJ21" s="25" t="s">
        <v>147</v>
      </c>
      <c r="AK21" s="17" t="s">
        <v>148</v>
      </c>
      <c r="AL21" s="27">
        <f t="shared" si="1"/>
        <v>2.0587646600618053</v>
      </c>
      <c r="AM21" s="27">
        <f t="shared" si="2"/>
        <v>6.1643531532463092</v>
      </c>
      <c r="AN21" s="27">
        <f t="shared" si="3"/>
        <v>2.167317334748176</v>
      </c>
      <c r="AO21" s="27">
        <f t="shared" si="4"/>
        <v>6.1749647277142365</v>
      </c>
      <c r="AP21" s="27">
        <f t="shared" si="5"/>
        <v>0.77166597386593849</v>
      </c>
      <c r="AQ21" s="27">
        <f t="shared" si="6"/>
        <v>0.89675187429370951</v>
      </c>
      <c r="AR21" s="27">
        <f t="shared" si="7"/>
        <v>0.53169721607335163</v>
      </c>
      <c r="AS21" s="27">
        <f t="shared" si="8"/>
        <v>0.79128139895788818</v>
      </c>
      <c r="AT21" s="27">
        <f t="shared" si="10"/>
        <v>74.8</v>
      </c>
      <c r="AU21" s="27" t="b">
        <f t="shared" si="9"/>
        <v>0</v>
      </c>
      <c r="AV21" s="11"/>
    </row>
    <row r="22" spans="1:48" s="30" customFormat="1">
      <c r="A22" s="25" t="s">
        <v>151</v>
      </c>
      <c r="B22" s="26" t="s">
        <v>878</v>
      </c>
      <c r="C22" s="26" t="s">
        <v>152</v>
      </c>
      <c r="D22" s="26" t="s">
        <v>153</v>
      </c>
      <c r="E22" s="25" t="s">
        <v>154</v>
      </c>
      <c r="F22" s="25">
        <v>818</v>
      </c>
      <c r="G22" s="25" t="s">
        <v>125</v>
      </c>
      <c r="H22" s="25" t="s">
        <v>155</v>
      </c>
      <c r="I22" s="50">
        <v>30.71777777777778</v>
      </c>
      <c r="J22" s="50">
        <v>31.007777777777779</v>
      </c>
      <c r="K22" s="25" t="s">
        <v>62</v>
      </c>
      <c r="L22" s="16" t="s">
        <v>73</v>
      </c>
      <c r="M22" s="25" t="s">
        <v>88</v>
      </c>
      <c r="N22" s="26" t="s">
        <v>61</v>
      </c>
      <c r="O22" s="25">
        <v>10301.10742</v>
      </c>
      <c r="P22" s="25">
        <v>110990103</v>
      </c>
      <c r="Q22" s="27">
        <v>0.23914384899999999</v>
      </c>
      <c r="R22" s="25" t="s">
        <v>64</v>
      </c>
      <c r="S22" s="28" t="s">
        <v>65</v>
      </c>
      <c r="T22" s="39">
        <v>4.7342087999438869</v>
      </c>
      <c r="U22" s="26" t="s">
        <v>66</v>
      </c>
      <c r="V22" s="26" t="s">
        <v>1159</v>
      </c>
      <c r="W22" s="26">
        <v>300953.61896518595</v>
      </c>
      <c r="X22" s="16" t="s">
        <v>67</v>
      </c>
      <c r="Y22" s="26">
        <v>30.095361896518597</v>
      </c>
      <c r="Z22" s="26" t="s">
        <v>67</v>
      </c>
      <c r="AA22" s="26">
        <v>1327884.7036037201</v>
      </c>
      <c r="AB22" s="29" t="s">
        <v>89</v>
      </c>
      <c r="AC22" s="29" t="s">
        <v>70</v>
      </c>
      <c r="AD22" s="39" t="s">
        <v>70</v>
      </c>
      <c r="AE22" s="29" t="s">
        <v>70</v>
      </c>
      <c r="AF22" s="29" t="s">
        <v>70</v>
      </c>
      <c r="AG22" s="25">
        <v>301579.38391685748</v>
      </c>
      <c r="AH22" s="25" t="s">
        <v>156</v>
      </c>
      <c r="AI22" s="25" t="s">
        <v>69</v>
      </c>
      <c r="AJ22" s="25" t="s">
        <v>156</v>
      </c>
      <c r="AK22" s="17" t="s">
        <v>157</v>
      </c>
      <c r="AL22" s="27">
        <f t="shared" si="1"/>
        <v>0.75847350287842041</v>
      </c>
      <c r="AM22" s="27">
        <f t="shared" si="2"/>
        <v>5.4785010131391223</v>
      </c>
      <c r="AN22" s="27">
        <f t="shared" si="3"/>
        <v>1.4926956156196001</v>
      </c>
      <c r="AO22" s="27">
        <f t="shared" si="4"/>
        <v>6.1231606951898092</v>
      </c>
      <c r="AP22" s="27">
        <f t="shared" si="5"/>
        <v>0.27895176821308015</v>
      </c>
      <c r="AQ22" s="27">
        <f t="shared" si="6"/>
        <v>0.6787294058101091</v>
      </c>
      <c r="AR22" s="27">
        <f t="shared" si="7"/>
        <v>0.35931617645526237</v>
      </c>
      <c r="AS22" s="27">
        <f t="shared" si="8"/>
        <v>0.778202750342184</v>
      </c>
      <c r="AT22" s="27">
        <f t="shared" si="10"/>
        <v>52.4</v>
      </c>
      <c r="AU22" s="27" t="b">
        <f t="shared" si="9"/>
        <v>0</v>
      </c>
      <c r="AV22" s="11"/>
    </row>
    <row r="23" spans="1:48" s="30" customFormat="1">
      <c r="A23" s="25" t="s">
        <v>158</v>
      </c>
      <c r="B23" s="26" t="s">
        <v>159</v>
      </c>
      <c r="C23" s="26" t="s">
        <v>160</v>
      </c>
      <c r="D23" s="26" t="s">
        <v>161</v>
      </c>
      <c r="E23" s="25" t="s">
        <v>162</v>
      </c>
      <c r="F23" s="25">
        <v>231</v>
      </c>
      <c r="G23" s="25" t="s">
        <v>125</v>
      </c>
      <c r="H23" s="25" t="s">
        <v>137</v>
      </c>
      <c r="I23" s="50">
        <v>8.9755004490000001</v>
      </c>
      <c r="J23" s="50">
        <v>38.712086669999998</v>
      </c>
      <c r="K23" s="25" t="s">
        <v>62</v>
      </c>
      <c r="L23" s="16" t="s">
        <v>164</v>
      </c>
      <c r="M23" s="25" t="s">
        <v>163</v>
      </c>
      <c r="N23" s="26" t="s">
        <v>61</v>
      </c>
      <c r="O23" s="25">
        <v>1779.0839840000001</v>
      </c>
      <c r="P23" s="25">
        <v>123379924</v>
      </c>
      <c r="Q23" s="27">
        <v>6.5410920999999997E-2</v>
      </c>
      <c r="R23" s="25" t="s">
        <v>64</v>
      </c>
      <c r="S23" s="28">
        <v>1964</v>
      </c>
      <c r="T23" s="39">
        <v>30.351690108245627</v>
      </c>
      <c r="U23" s="26" t="s">
        <v>66</v>
      </c>
      <c r="V23" s="26" t="s">
        <v>1159</v>
      </c>
      <c r="W23" s="26">
        <v>1314000</v>
      </c>
      <c r="X23" s="16" t="s">
        <v>165</v>
      </c>
      <c r="Y23" s="26">
        <v>500</v>
      </c>
      <c r="Z23" s="26" t="s">
        <v>166</v>
      </c>
      <c r="AA23" s="26">
        <v>4134875.4588366202</v>
      </c>
      <c r="AB23" s="29" t="s">
        <v>68</v>
      </c>
      <c r="AC23" s="29" t="s">
        <v>1149</v>
      </c>
      <c r="AD23" s="39">
        <v>1</v>
      </c>
      <c r="AE23" s="26">
        <v>1</v>
      </c>
      <c r="AF23" s="29" t="s">
        <v>1151</v>
      </c>
      <c r="AG23" s="25">
        <v>1165392.327337859</v>
      </c>
      <c r="AH23" s="25" t="s">
        <v>167</v>
      </c>
      <c r="AI23" s="25" t="s">
        <v>69</v>
      </c>
      <c r="AJ23" s="25" t="s">
        <v>167</v>
      </c>
      <c r="AK23" s="17" t="s">
        <v>168</v>
      </c>
      <c r="AL23" s="27">
        <f t="shared" si="1"/>
        <v>1.4962609577632315</v>
      </c>
      <c r="AM23" s="27">
        <f t="shared" si="2"/>
        <v>6.118595695736941</v>
      </c>
      <c r="AN23" s="27">
        <f t="shared" si="3"/>
        <v>2.6998377258672459</v>
      </c>
      <c r="AO23" s="27">
        <f t="shared" si="4"/>
        <v>6.6164625383028204</v>
      </c>
      <c r="AP23" s="27">
        <f t="shared" si="5"/>
        <v>0.55851866195528332</v>
      </c>
      <c r="AQ23" s="27">
        <f t="shared" si="6"/>
        <v>0.88220624083375299</v>
      </c>
      <c r="AR23" s="27">
        <f t="shared" si="7"/>
        <v>0.66776816670552563</v>
      </c>
      <c r="AS23" s="27">
        <f t="shared" si="8"/>
        <v>0.90274366256773564</v>
      </c>
      <c r="AT23" s="27">
        <f t="shared" si="10"/>
        <v>75.3</v>
      </c>
      <c r="AU23" s="27" t="b">
        <f t="shared" si="9"/>
        <v>0</v>
      </c>
      <c r="AV23" s="11"/>
    </row>
    <row r="24" spans="1:48" s="30" customFormat="1">
      <c r="A24" s="25" t="s">
        <v>175</v>
      </c>
      <c r="B24" s="26" t="s">
        <v>887</v>
      </c>
      <c r="C24" s="26" t="s">
        <v>170</v>
      </c>
      <c r="D24" s="26" t="s">
        <v>178</v>
      </c>
      <c r="E24" s="25" t="s">
        <v>172</v>
      </c>
      <c r="F24" s="25">
        <v>270</v>
      </c>
      <c r="G24" s="25" t="s">
        <v>125</v>
      </c>
      <c r="H24" s="25" t="s">
        <v>173</v>
      </c>
      <c r="I24" s="50">
        <v>13.43924713</v>
      </c>
      <c r="J24" s="50">
        <v>-16.697277199999998</v>
      </c>
      <c r="K24" s="25" t="s">
        <v>62</v>
      </c>
      <c r="L24" s="16" t="s">
        <v>174</v>
      </c>
      <c r="M24" s="25" t="s">
        <v>163</v>
      </c>
      <c r="N24" s="26" t="s">
        <v>61</v>
      </c>
      <c r="O24" s="25">
        <v>2180.8557129999999</v>
      </c>
      <c r="P24" s="25">
        <v>2705992</v>
      </c>
      <c r="Q24" s="27">
        <v>0.14751263000000001</v>
      </c>
      <c r="R24" s="25" t="s">
        <v>64</v>
      </c>
      <c r="S24" s="28" t="s">
        <v>65</v>
      </c>
      <c r="T24" s="39">
        <v>17.503465455356888</v>
      </c>
      <c r="U24" s="26" t="s">
        <v>66</v>
      </c>
      <c r="V24" s="26" t="s">
        <v>1159</v>
      </c>
      <c r="W24" s="26">
        <v>142338.97368673648</v>
      </c>
      <c r="X24" s="16" t="s">
        <v>79</v>
      </c>
      <c r="Y24" s="26">
        <v>14.233897368673649</v>
      </c>
      <c r="Z24" s="26" t="s">
        <v>67</v>
      </c>
      <c r="AA24" s="26">
        <v>983779.35069018905</v>
      </c>
      <c r="AB24" s="29" t="s">
        <v>68</v>
      </c>
      <c r="AC24" s="29" t="s">
        <v>1149</v>
      </c>
      <c r="AD24" s="39">
        <v>1</v>
      </c>
      <c r="AE24" s="26">
        <v>10</v>
      </c>
      <c r="AF24" s="29" t="s">
        <v>1151</v>
      </c>
      <c r="AG24" s="25">
        <v>116530.20570120697</v>
      </c>
      <c r="AH24" s="25" t="s">
        <v>65</v>
      </c>
      <c r="AI24" s="25" t="s">
        <v>69</v>
      </c>
      <c r="AJ24" s="25" t="s">
        <v>65</v>
      </c>
      <c r="AK24" s="17" t="s">
        <v>70</v>
      </c>
      <c r="AL24" s="27">
        <f t="shared" si="1"/>
        <v>1.2672530736567438</v>
      </c>
      <c r="AM24" s="27">
        <f t="shared" si="2"/>
        <v>5.1533268812063326</v>
      </c>
      <c r="AN24" s="27">
        <f t="shared" si="3"/>
        <v>1.1828110254093387</v>
      </c>
      <c r="AO24" s="27">
        <f t="shared" si="4"/>
        <v>5.9928981440293247</v>
      </c>
      <c r="AP24" s="27">
        <f t="shared" si="5"/>
        <v>0.47174160661470288</v>
      </c>
      <c r="AQ24" s="27">
        <f t="shared" si="6"/>
        <v>0.57536125575969299</v>
      </c>
      <c r="AR24" s="27">
        <f t="shared" si="7"/>
        <v>0.28013368602036803</v>
      </c>
      <c r="AS24" s="27">
        <f t="shared" si="8"/>
        <v>0.74531615732242551</v>
      </c>
      <c r="AT24" s="27">
        <f t="shared" si="10"/>
        <v>51.8</v>
      </c>
      <c r="AU24" s="27" t="b">
        <f t="shared" si="9"/>
        <v>0</v>
      </c>
      <c r="AV24" s="11"/>
    </row>
    <row r="25" spans="1:48" s="30" customFormat="1">
      <c r="A25" s="25" t="s">
        <v>661</v>
      </c>
      <c r="B25" s="26" t="s">
        <v>176</v>
      </c>
      <c r="C25" s="26" t="s">
        <v>177</v>
      </c>
      <c r="D25" s="26" t="s">
        <v>664</v>
      </c>
      <c r="E25" s="25" t="s">
        <v>179</v>
      </c>
      <c r="F25" s="25">
        <v>275</v>
      </c>
      <c r="G25" s="25" t="s">
        <v>86</v>
      </c>
      <c r="H25" s="25" t="s">
        <v>180</v>
      </c>
      <c r="I25" s="50">
        <v>31.457550309999998</v>
      </c>
      <c r="J25" s="50">
        <v>34.452937120000001</v>
      </c>
      <c r="K25" s="25" t="s">
        <v>62</v>
      </c>
      <c r="L25" s="16" t="s">
        <v>101</v>
      </c>
      <c r="M25" s="25" t="s">
        <v>88</v>
      </c>
      <c r="N25" s="26" t="s">
        <v>61</v>
      </c>
      <c r="O25" s="25">
        <v>5985.6831050000001</v>
      </c>
      <c r="P25" s="25">
        <v>5043612</v>
      </c>
      <c r="Q25" s="27">
        <v>0.34273138878366433</v>
      </c>
      <c r="R25" s="25" t="s">
        <v>64</v>
      </c>
      <c r="S25" s="28">
        <v>1987</v>
      </c>
      <c r="T25" s="39">
        <v>0.53623100378718225</v>
      </c>
      <c r="U25" s="26" t="s">
        <v>847</v>
      </c>
      <c r="V25" s="26" t="s">
        <v>1160</v>
      </c>
      <c r="W25" s="26">
        <v>255500</v>
      </c>
      <c r="X25" s="16" t="s">
        <v>181</v>
      </c>
      <c r="Y25" s="26">
        <v>50</v>
      </c>
      <c r="Z25" s="26" t="s">
        <v>101</v>
      </c>
      <c r="AA25" s="26">
        <v>983675.60865017294</v>
      </c>
      <c r="AB25" s="29" t="s">
        <v>68</v>
      </c>
      <c r="AC25" s="29" t="s">
        <v>1149</v>
      </c>
      <c r="AD25" s="39">
        <v>1</v>
      </c>
      <c r="AE25" s="26">
        <v>2</v>
      </c>
      <c r="AF25" s="29" t="s">
        <v>1151</v>
      </c>
      <c r="AG25" s="25">
        <v>256031.25443615465</v>
      </c>
      <c r="AH25" s="25" t="s">
        <v>182</v>
      </c>
      <c r="AI25" s="25" t="s">
        <v>69</v>
      </c>
      <c r="AJ25" s="25" t="s">
        <v>182</v>
      </c>
      <c r="AK25" s="17" t="s">
        <v>183</v>
      </c>
      <c r="AL25" s="27">
        <f t="shared" si="1"/>
        <v>0.18645652567390134</v>
      </c>
      <c r="AM25" s="27">
        <f t="shared" si="2"/>
        <v>5.4073926042501128</v>
      </c>
      <c r="AN25" s="27">
        <f t="shared" si="3"/>
        <v>1.7075701760979363</v>
      </c>
      <c r="AO25" s="27">
        <f t="shared" si="4"/>
        <v>5.9928523442009238</v>
      </c>
      <c r="AP25" s="27">
        <f t="shared" si="5"/>
        <v>6.219962852016616E-2</v>
      </c>
      <c r="AQ25" s="27">
        <f t="shared" si="6"/>
        <v>0.65612507183004731</v>
      </c>
      <c r="AR25" s="27">
        <f t="shared" si="7"/>
        <v>0.41422146496358581</v>
      </c>
      <c r="AS25" s="27">
        <f t="shared" si="8"/>
        <v>0.74530459451866049</v>
      </c>
      <c r="AT25" s="27">
        <f t="shared" si="10"/>
        <v>46.9</v>
      </c>
      <c r="AU25" s="27" t="b">
        <f t="shared" si="9"/>
        <v>0</v>
      </c>
      <c r="AV25" s="11"/>
    </row>
    <row r="26" spans="1:48" s="30" customFormat="1">
      <c r="A26" s="25" t="s">
        <v>667</v>
      </c>
      <c r="B26" s="26" t="s">
        <v>185</v>
      </c>
      <c r="C26" s="26" t="s">
        <v>186</v>
      </c>
      <c r="D26" s="26" t="s">
        <v>664</v>
      </c>
      <c r="E26" s="25" t="s">
        <v>179</v>
      </c>
      <c r="F26" s="25">
        <v>275</v>
      </c>
      <c r="G26" s="25" t="s">
        <v>86</v>
      </c>
      <c r="H26" s="25" t="s">
        <v>180</v>
      </c>
      <c r="I26" s="50">
        <v>31.27077418</v>
      </c>
      <c r="J26" s="50">
        <v>34.327699600000003</v>
      </c>
      <c r="K26" s="25" t="s">
        <v>62</v>
      </c>
      <c r="L26" s="16" t="s">
        <v>101</v>
      </c>
      <c r="M26" s="25" t="s">
        <v>88</v>
      </c>
      <c r="N26" s="26" t="s">
        <v>61</v>
      </c>
      <c r="O26" s="25">
        <v>5985.6831050000001</v>
      </c>
      <c r="P26" s="25">
        <v>5043612</v>
      </c>
      <c r="Q26" s="27">
        <v>0.34273138878366433</v>
      </c>
      <c r="R26" s="25" t="s">
        <v>64</v>
      </c>
      <c r="S26" s="28">
        <v>1998</v>
      </c>
      <c r="T26" s="39">
        <v>4.080194174575154</v>
      </c>
      <c r="U26" s="26" t="s">
        <v>188</v>
      </c>
      <c r="V26" s="26" t="s">
        <v>1159</v>
      </c>
      <c r="W26" s="26">
        <v>63000</v>
      </c>
      <c r="X26" s="16" t="s">
        <v>101</v>
      </c>
      <c r="Y26" s="26">
        <v>18</v>
      </c>
      <c r="Z26" s="26" t="s">
        <v>101</v>
      </c>
      <c r="AA26" s="26">
        <v>509335.75912989199</v>
      </c>
      <c r="AB26" s="29" t="s">
        <v>89</v>
      </c>
      <c r="AC26" s="29" t="s">
        <v>70</v>
      </c>
      <c r="AD26" s="39" t="s">
        <v>70</v>
      </c>
      <c r="AE26" s="29" t="s">
        <v>70</v>
      </c>
      <c r="AF26" s="29" t="s">
        <v>70</v>
      </c>
      <c r="AG26" s="25">
        <v>63130.994244531299</v>
      </c>
      <c r="AH26" s="25" t="s">
        <v>189</v>
      </c>
      <c r="AI26" s="25" t="s">
        <v>69</v>
      </c>
      <c r="AJ26" s="25" t="s">
        <v>189</v>
      </c>
      <c r="AK26" s="17" t="s">
        <v>190</v>
      </c>
      <c r="AL26" s="27">
        <f t="shared" si="1"/>
        <v>0.70588031215299196</v>
      </c>
      <c r="AM26" s="27">
        <f t="shared" si="2"/>
        <v>4.7993474429620759</v>
      </c>
      <c r="AN26" s="27">
        <f t="shared" si="3"/>
        <v>1.2787536009528289</v>
      </c>
      <c r="AO26" s="27">
        <f t="shared" si="4"/>
        <v>5.7070050205924003</v>
      </c>
      <c r="AP26" s="27">
        <f t="shared" si="5"/>
        <v>0.25902283764405215</v>
      </c>
      <c r="AQ26" s="27">
        <f t="shared" si="6"/>
        <v>0.46283631575383427</v>
      </c>
      <c r="AR26" s="27">
        <f t="shared" si="7"/>
        <v>0.30464917439982209</v>
      </c>
      <c r="AS26" s="27">
        <f t="shared" si="8"/>
        <v>0.67313846147771339</v>
      </c>
      <c r="AT26" s="27">
        <f t="shared" si="10"/>
        <v>42.5</v>
      </c>
      <c r="AU26" s="27" t="b">
        <f t="shared" si="9"/>
        <v>0</v>
      </c>
      <c r="AV26" s="11"/>
    </row>
    <row r="27" spans="1:48" s="30" customFormat="1">
      <c r="A27" s="25" t="s">
        <v>169</v>
      </c>
      <c r="B27" s="26" t="s">
        <v>886</v>
      </c>
      <c r="C27" s="26" t="s">
        <v>192</v>
      </c>
      <c r="D27" s="26" t="s">
        <v>171</v>
      </c>
      <c r="E27" s="25" t="s">
        <v>194</v>
      </c>
      <c r="F27" s="25">
        <v>288</v>
      </c>
      <c r="G27" s="25" t="s">
        <v>125</v>
      </c>
      <c r="H27" s="25" t="s">
        <v>173</v>
      </c>
      <c r="I27" s="50">
        <v>5.553955695</v>
      </c>
      <c r="J27" s="50">
        <v>-0.22722931399999999</v>
      </c>
      <c r="K27" s="25" t="s">
        <v>62</v>
      </c>
      <c r="L27" s="16" t="s">
        <v>101</v>
      </c>
      <c r="M27" s="25" t="s">
        <v>88</v>
      </c>
      <c r="N27" s="26" t="s">
        <v>61</v>
      </c>
      <c r="O27" s="25">
        <v>3092.5969239999999</v>
      </c>
      <c r="P27" s="25">
        <v>33475870</v>
      </c>
      <c r="Q27" s="27">
        <v>0.164250008</v>
      </c>
      <c r="R27" s="25" t="s">
        <v>64</v>
      </c>
      <c r="S27" s="28">
        <v>2000</v>
      </c>
      <c r="T27" s="39">
        <v>32.693565348164526</v>
      </c>
      <c r="U27" s="26" t="s">
        <v>867</v>
      </c>
      <c r="V27" s="26" t="s">
        <v>1160</v>
      </c>
      <c r="W27" s="26">
        <v>115903</v>
      </c>
      <c r="X27" s="16" t="s">
        <v>195</v>
      </c>
      <c r="Y27" s="26">
        <v>10000</v>
      </c>
      <c r="Z27" s="26" t="s">
        <v>101</v>
      </c>
      <c r="AA27" s="26">
        <v>2511002.8208092102</v>
      </c>
      <c r="AB27" s="29" t="s">
        <v>68</v>
      </c>
      <c r="AC27" s="29" t="s">
        <v>1149</v>
      </c>
      <c r="AD27" s="39">
        <v>1</v>
      </c>
      <c r="AE27" s="26">
        <v>79</v>
      </c>
      <c r="AF27" s="29" t="s">
        <v>1152</v>
      </c>
      <c r="AG27" s="25">
        <v>102586.78381596098</v>
      </c>
      <c r="AH27" s="25" t="s">
        <v>196</v>
      </c>
      <c r="AI27" s="25" t="s">
        <v>69</v>
      </c>
      <c r="AJ27" s="25" t="s">
        <v>197</v>
      </c>
      <c r="AK27" s="17" t="s">
        <v>198</v>
      </c>
      <c r="AL27" s="27">
        <f t="shared" si="1"/>
        <v>1.5275469691024326</v>
      </c>
      <c r="AM27" s="27">
        <f t="shared" si="2"/>
        <v>5.0640984242979457</v>
      </c>
      <c r="AN27" s="27">
        <f t="shared" si="3"/>
        <v>4.0000434272768626</v>
      </c>
      <c r="AO27" s="27">
        <f t="shared" si="4"/>
        <v>6.3998473735472885</v>
      </c>
      <c r="AP27" s="27">
        <f t="shared" si="5"/>
        <v>0.57037374697980359</v>
      </c>
      <c r="AQ27" s="27">
        <f t="shared" si="6"/>
        <v>0.54699682077942335</v>
      </c>
      <c r="AR27" s="27">
        <f t="shared" si="7"/>
        <v>1</v>
      </c>
      <c r="AS27" s="27">
        <f t="shared" si="8"/>
        <v>0.84805615106301624</v>
      </c>
      <c r="AT27" s="27">
        <f t="shared" si="10"/>
        <v>74.099999999999994</v>
      </c>
      <c r="AU27" s="27" t="b">
        <f t="shared" si="9"/>
        <v>0</v>
      </c>
      <c r="AV27" s="11"/>
    </row>
    <row r="28" spans="1:48" s="30" customFormat="1">
      <c r="A28" s="25" t="s">
        <v>864</v>
      </c>
      <c r="B28" s="26" t="s">
        <v>865</v>
      </c>
      <c r="C28" s="26" t="s">
        <v>866</v>
      </c>
      <c r="D28" s="26" t="s">
        <v>171</v>
      </c>
      <c r="E28" s="25" t="s">
        <v>194</v>
      </c>
      <c r="F28" s="25">
        <v>288</v>
      </c>
      <c r="G28" s="25" t="s">
        <v>125</v>
      </c>
      <c r="H28" s="25" t="s">
        <v>173</v>
      </c>
      <c r="I28" s="50">
        <v>6.6258333333333326</v>
      </c>
      <c r="J28" s="50">
        <v>-1.591388888888889</v>
      </c>
      <c r="K28" s="25" t="s">
        <v>62</v>
      </c>
      <c r="L28" s="16" t="s">
        <v>73</v>
      </c>
      <c r="M28" s="25" t="s">
        <v>88</v>
      </c>
      <c r="N28" s="26" t="s">
        <v>61</v>
      </c>
      <c r="O28" s="25">
        <v>3092.5969239999999</v>
      </c>
      <c r="P28" s="25">
        <v>33475870</v>
      </c>
      <c r="Q28" s="27">
        <v>0.164250008</v>
      </c>
      <c r="R28" s="25" t="s">
        <v>64</v>
      </c>
      <c r="S28" s="26">
        <v>2004</v>
      </c>
      <c r="T28" s="39">
        <v>35.745319195996217</v>
      </c>
      <c r="U28" s="50" t="s">
        <v>66</v>
      </c>
      <c r="V28" s="26" t="s">
        <v>1159</v>
      </c>
      <c r="W28" s="26">
        <f>1400*365</f>
        <v>511000</v>
      </c>
      <c r="X28" s="54" t="s">
        <v>868</v>
      </c>
      <c r="Y28" s="52">
        <f>0.0001 *W28</f>
        <v>51.1</v>
      </c>
      <c r="Z28" s="50" t="s">
        <v>67</v>
      </c>
      <c r="AA28" s="29">
        <v>2245548.7409825302</v>
      </c>
      <c r="AB28" s="50" t="s">
        <v>68</v>
      </c>
      <c r="AC28" s="50" t="s">
        <v>1149</v>
      </c>
      <c r="AD28" s="55">
        <v>0.91304347826086896</v>
      </c>
      <c r="AE28" s="56">
        <v>23</v>
      </c>
      <c r="AF28" s="50" t="s">
        <v>1151</v>
      </c>
      <c r="AG28" s="57">
        <v>452290.67867057846</v>
      </c>
      <c r="AH28" s="58" t="s">
        <v>869</v>
      </c>
      <c r="AI28" s="25" t="s">
        <v>69</v>
      </c>
      <c r="AJ28" s="58" t="s">
        <v>869</v>
      </c>
      <c r="AK28" s="17" t="s">
        <v>870</v>
      </c>
      <c r="AL28" s="27">
        <f t="shared" si="1"/>
        <v>1.5652020243230331</v>
      </c>
      <c r="AM28" s="27">
        <f t="shared" si="2"/>
        <v>5.7084217500252352</v>
      </c>
      <c r="AN28" s="27">
        <f t="shared" si="3"/>
        <v>1.7168377232995244</v>
      </c>
      <c r="AO28" s="27">
        <f t="shared" si="4"/>
        <v>6.3513226795256452</v>
      </c>
      <c r="AP28" s="27">
        <f t="shared" si="5"/>
        <v>0.58464222871125016</v>
      </c>
      <c r="AQ28" s="27">
        <f t="shared" si="6"/>
        <v>0.75181788024957741</v>
      </c>
      <c r="AR28" s="27">
        <f t="shared" si="7"/>
        <v>0.41658953194990089</v>
      </c>
      <c r="AS28" s="27">
        <f t="shared" si="8"/>
        <v>0.83580541706862332</v>
      </c>
      <c r="AT28" s="27">
        <f t="shared" si="10"/>
        <v>64.7</v>
      </c>
      <c r="AU28" s="27" t="b">
        <f t="shared" si="9"/>
        <v>0</v>
      </c>
      <c r="AV28" s="11"/>
    </row>
    <row r="29" spans="1:48" s="30" customFormat="1">
      <c r="A29" s="25" t="s">
        <v>184</v>
      </c>
      <c r="B29" s="26" t="s">
        <v>200</v>
      </c>
      <c r="C29" s="26" t="s">
        <v>200</v>
      </c>
      <c r="D29" s="26" t="s">
        <v>187</v>
      </c>
      <c r="E29" s="25" t="s">
        <v>202</v>
      </c>
      <c r="F29" s="25">
        <v>300</v>
      </c>
      <c r="G29" s="25" t="s">
        <v>203</v>
      </c>
      <c r="H29" s="25" t="s">
        <v>204</v>
      </c>
      <c r="I29" s="50">
        <v>35.042786800000002</v>
      </c>
      <c r="J29" s="50">
        <v>25.72960496</v>
      </c>
      <c r="K29" s="25" t="s">
        <v>62</v>
      </c>
      <c r="L29" s="16" t="s">
        <v>207</v>
      </c>
      <c r="M29" s="25" t="s">
        <v>205</v>
      </c>
      <c r="N29" s="26" t="s">
        <v>206</v>
      </c>
      <c r="O29" s="25">
        <v>30465.449219999999</v>
      </c>
      <c r="P29" s="25">
        <v>10426919</v>
      </c>
      <c r="Q29" s="27">
        <v>0.52399997899999995</v>
      </c>
      <c r="R29" s="25" t="s">
        <v>64</v>
      </c>
      <c r="S29" s="28" t="s">
        <v>65</v>
      </c>
      <c r="T29" s="39">
        <v>7.0027875864394939</v>
      </c>
      <c r="U29" s="26" t="s">
        <v>66</v>
      </c>
      <c r="V29" s="26" t="s">
        <v>1159</v>
      </c>
      <c r="W29" s="26">
        <v>11791.600506768884</v>
      </c>
      <c r="X29" s="16" t="s">
        <v>79</v>
      </c>
      <c r="Y29" s="26">
        <v>1.1791600506768884</v>
      </c>
      <c r="Z29" s="26" t="s">
        <v>67</v>
      </c>
      <c r="AA29" s="26">
        <v>22105.349607581498</v>
      </c>
      <c r="AB29" s="29" t="s">
        <v>89</v>
      </c>
      <c r="AC29" s="29" t="s">
        <v>70</v>
      </c>
      <c r="AD29" s="39" t="s">
        <v>70</v>
      </c>
      <c r="AE29" s="29" t="s">
        <v>70</v>
      </c>
      <c r="AF29" s="29" t="s">
        <v>70</v>
      </c>
      <c r="AG29" s="25">
        <v>12871.411551454554</v>
      </c>
      <c r="AH29" s="25" t="s">
        <v>65</v>
      </c>
      <c r="AI29" s="25" t="s">
        <v>69</v>
      </c>
      <c r="AJ29" s="25" t="s">
        <v>65</v>
      </c>
      <c r="AK29" s="17" t="s">
        <v>70</v>
      </c>
      <c r="AL29" s="27">
        <f t="shared" si="1"/>
        <v>0.9032412898089317</v>
      </c>
      <c r="AM29" s="27">
        <f t="shared" si="2"/>
        <v>4.071609586367738</v>
      </c>
      <c r="AN29" s="27">
        <f t="shared" si="3"/>
        <v>0.33828912862769206</v>
      </c>
      <c r="AO29" s="27">
        <f t="shared" si="4"/>
        <v>4.3445170340228607</v>
      </c>
      <c r="AP29" s="27">
        <f t="shared" si="5"/>
        <v>0.33380805539732755</v>
      </c>
      <c r="AQ29" s="27">
        <f t="shared" si="6"/>
        <v>0.23149898424260562</v>
      </c>
      <c r="AR29" s="27">
        <f t="shared" si="7"/>
        <v>6.433932538888798E-2</v>
      </c>
      <c r="AS29" s="27">
        <f t="shared" si="8"/>
        <v>0.32915941677576149</v>
      </c>
      <c r="AT29" s="27">
        <f t="shared" si="10"/>
        <v>24</v>
      </c>
      <c r="AU29" s="27" t="b">
        <f t="shared" si="9"/>
        <v>0</v>
      </c>
      <c r="AV29" s="11"/>
    </row>
    <row r="30" spans="1:48" s="30" customFormat="1">
      <c r="A30" s="25" t="s">
        <v>191</v>
      </c>
      <c r="B30" s="26" t="s">
        <v>888</v>
      </c>
      <c r="C30" s="26" t="s">
        <v>209</v>
      </c>
      <c r="D30" s="26" t="s">
        <v>193</v>
      </c>
      <c r="E30" s="25" t="s">
        <v>211</v>
      </c>
      <c r="F30" s="25">
        <v>320</v>
      </c>
      <c r="G30" s="25" t="s">
        <v>58</v>
      </c>
      <c r="H30" s="25" t="s">
        <v>212</v>
      </c>
      <c r="I30" s="50">
        <v>14.62731301</v>
      </c>
      <c r="J30" s="50">
        <v>-90.532751079999997</v>
      </c>
      <c r="K30" s="25" t="s">
        <v>62</v>
      </c>
      <c r="L30" s="16" t="s">
        <v>101</v>
      </c>
      <c r="M30" s="25" t="s">
        <v>60</v>
      </c>
      <c r="N30" s="26" t="s">
        <v>61</v>
      </c>
      <c r="O30" s="25">
        <v>8125.3647460000002</v>
      </c>
      <c r="P30" s="25">
        <v>17357886</v>
      </c>
      <c r="Q30" s="27">
        <v>0.169620244</v>
      </c>
      <c r="R30" s="25" t="s">
        <v>64</v>
      </c>
      <c r="S30" s="28">
        <v>1966</v>
      </c>
      <c r="T30" s="39">
        <v>5.4630060559125848</v>
      </c>
      <c r="U30" s="26" t="s">
        <v>846</v>
      </c>
      <c r="V30" s="26" t="s">
        <v>1159</v>
      </c>
      <c r="W30" s="26">
        <v>156950</v>
      </c>
      <c r="X30" s="16" t="s">
        <v>213</v>
      </c>
      <c r="Y30" s="26">
        <v>2000</v>
      </c>
      <c r="Z30" s="26" t="s">
        <v>101</v>
      </c>
      <c r="AA30" s="26">
        <v>1802781.8551858901</v>
      </c>
      <c r="AB30" s="29" t="s">
        <v>89</v>
      </c>
      <c r="AC30" s="29" t="s">
        <v>70</v>
      </c>
      <c r="AD30" s="39" t="s">
        <v>70</v>
      </c>
      <c r="AE30" s="29" t="s">
        <v>70</v>
      </c>
      <c r="AF30" s="29" t="s">
        <v>70</v>
      </c>
      <c r="AG30" s="25">
        <v>175741.60581326313</v>
      </c>
      <c r="AH30" s="25" t="s">
        <v>214</v>
      </c>
      <c r="AI30" s="25" t="s">
        <v>69</v>
      </c>
      <c r="AJ30" s="25" t="s">
        <v>214</v>
      </c>
      <c r="AK30" s="17" t="s">
        <v>215</v>
      </c>
      <c r="AL30" s="27">
        <f t="shared" si="1"/>
        <v>0.81043456286189397</v>
      </c>
      <c r="AM30" s="27">
        <f t="shared" si="2"/>
        <v>5.1957640871153759</v>
      </c>
      <c r="AN30" s="27">
        <f t="shared" si="3"/>
        <v>3.3012470886362113</v>
      </c>
      <c r="AO30" s="27">
        <f t="shared" si="4"/>
        <v>6.2559434191939438</v>
      </c>
      <c r="AP30" s="27">
        <f t="shared" si="5"/>
        <v>0.2986411679703585</v>
      </c>
      <c r="AQ30" s="27">
        <f t="shared" si="6"/>
        <v>0.58885142929241752</v>
      </c>
      <c r="AR30" s="27">
        <f t="shared" si="7"/>
        <v>0.82144180075940965</v>
      </c>
      <c r="AS30" s="27">
        <f t="shared" si="8"/>
        <v>0.81172559605245254</v>
      </c>
      <c r="AT30" s="27">
        <f t="shared" si="10"/>
        <v>63</v>
      </c>
      <c r="AU30" s="27" t="b">
        <f t="shared" si="9"/>
        <v>0</v>
      </c>
      <c r="AV30" s="11"/>
    </row>
    <row r="31" spans="1:48">
      <c r="A31" s="25" t="s">
        <v>208</v>
      </c>
      <c r="B31" s="26" t="s">
        <v>217</v>
      </c>
      <c r="C31" s="26" t="s">
        <v>218</v>
      </c>
      <c r="D31" s="26" t="s">
        <v>210</v>
      </c>
      <c r="E31" s="25" t="s">
        <v>220</v>
      </c>
      <c r="F31" s="25">
        <v>332</v>
      </c>
      <c r="G31" s="25" t="s">
        <v>58</v>
      </c>
      <c r="H31" s="25" t="s">
        <v>143</v>
      </c>
      <c r="I31" s="50">
        <v>18.610193800000001</v>
      </c>
      <c r="J31" s="50">
        <v>-72.334038019999994</v>
      </c>
      <c r="K31" s="25" t="s">
        <v>62</v>
      </c>
      <c r="L31" s="16" t="s">
        <v>101</v>
      </c>
      <c r="M31" s="25" t="s">
        <v>88</v>
      </c>
      <c r="N31" s="26" t="s">
        <v>61</v>
      </c>
      <c r="O31" s="25">
        <v>2952.6186520000001</v>
      </c>
      <c r="P31" s="25">
        <v>11584996</v>
      </c>
      <c r="Q31" s="27">
        <v>0.21294194999999999</v>
      </c>
      <c r="R31" s="25" t="s">
        <v>64</v>
      </c>
      <c r="S31" s="28">
        <v>1980</v>
      </c>
      <c r="T31" s="39">
        <v>53.976189330085226</v>
      </c>
      <c r="U31" s="26" t="s">
        <v>520</v>
      </c>
      <c r="V31" s="26" t="s">
        <v>1160</v>
      </c>
      <c r="W31" s="26">
        <v>1200000</v>
      </c>
      <c r="X31" s="16" t="s">
        <v>221</v>
      </c>
      <c r="Y31" s="26">
        <v>2000</v>
      </c>
      <c r="Z31" s="26" t="s">
        <v>101</v>
      </c>
      <c r="AA31" s="26">
        <v>1070639.2460171201</v>
      </c>
      <c r="AB31" s="29" t="s">
        <v>68</v>
      </c>
      <c r="AC31" s="29" t="s">
        <v>1149</v>
      </c>
      <c r="AD31" s="39">
        <v>0.61176470588235299</v>
      </c>
      <c r="AE31" s="26">
        <v>85</v>
      </c>
      <c r="AF31" s="29" t="s">
        <v>1152</v>
      </c>
      <c r="AG31" s="25">
        <v>0</v>
      </c>
      <c r="AH31" s="25" t="s">
        <v>222</v>
      </c>
      <c r="AI31" s="25" t="s">
        <v>69</v>
      </c>
      <c r="AJ31" s="25" t="s">
        <v>223</v>
      </c>
      <c r="AK31" s="17" t="s">
        <v>224</v>
      </c>
      <c r="AL31" s="27">
        <f t="shared" si="1"/>
        <v>1.7401746334654076</v>
      </c>
      <c r="AM31" s="27">
        <f t="shared" si="2"/>
        <v>6.0791816079595424</v>
      </c>
      <c r="AN31" s="27">
        <f t="shared" si="3"/>
        <v>3.3012470886362113</v>
      </c>
      <c r="AO31" s="27">
        <f t="shared" si="4"/>
        <v>6.0296435647476123</v>
      </c>
      <c r="AP31" s="27">
        <f t="shared" si="5"/>
        <v>0.65094391018337472</v>
      </c>
      <c r="AQ31" s="27">
        <f t="shared" si="6"/>
        <v>0.86967707279920436</v>
      </c>
      <c r="AR31" s="27">
        <f t="shared" si="7"/>
        <v>0.82144180075940965</v>
      </c>
      <c r="AS31" s="27">
        <f t="shared" si="8"/>
        <v>0.75459304991923426</v>
      </c>
      <c r="AT31" s="27">
        <f t="shared" si="10"/>
        <v>77.400000000000006</v>
      </c>
      <c r="AU31" s="27" t="b">
        <f t="shared" si="9"/>
        <v>0</v>
      </c>
      <c r="AV31"/>
    </row>
    <row r="32" spans="1:48" s="30" customFormat="1">
      <c r="A32" s="25" t="s">
        <v>199</v>
      </c>
      <c r="B32" s="26" t="s">
        <v>889</v>
      </c>
      <c r="C32" s="26" t="s">
        <v>226</v>
      </c>
      <c r="D32" s="26" t="s">
        <v>201</v>
      </c>
      <c r="E32" s="25" t="s">
        <v>227</v>
      </c>
      <c r="F32" s="25">
        <v>340</v>
      </c>
      <c r="G32" s="25" t="s">
        <v>58</v>
      </c>
      <c r="H32" s="25" t="s">
        <v>212</v>
      </c>
      <c r="I32" s="50">
        <v>14.14843056</v>
      </c>
      <c r="J32" s="50">
        <v>-87.224144440000003</v>
      </c>
      <c r="K32" s="25" t="s">
        <v>62</v>
      </c>
      <c r="L32" s="16" t="s">
        <v>101</v>
      </c>
      <c r="M32" s="25" t="s">
        <v>88</v>
      </c>
      <c r="N32" s="26" t="s">
        <v>61</v>
      </c>
      <c r="O32" s="25">
        <v>5395.6137699999999</v>
      </c>
      <c r="P32" s="25">
        <v>10432860</v>
      </c>
      <c r="Q32" s="27">
        <v>0.23724999999999999</v>
      </c>
      <c r="R32" s="25" t="s">
        <v>64</v>
      </c>
      <c r="S32" s="28">
        <v>1977</v>
      </c>
      <c r="T32" s="39">
        <v>33.056527654331639</v>
      </c>
      <c r="U32" s="26" t="s">
        <v>520</v>
      </c>
      <c r="V32" s="26" t="s">
        <v>1159</v>
      </c>
      <c r="W32" s="26">
        <v>310250</v>
      </c>
      <c r="X32" s="16" t="s">
        <v>228</v>
      </c>
      <c r="Y32" s="26">
        <v>1500</v>
      </c>
      <c r="Z32" s="26" t="s">
        <v>101</v>
      </c>
      <c r="AA32" s="26">
        <v>1073204.3560185099</v>
      </c>
      <c r="AB32" s="29" t="s">
        <v>68</v>
      </c>
      <c r="AC32" s="29" t="s">
        <v>1149</v>
      </c>
      <c r="AD32" s="39">
        <v>0.84615384615384603</v>
      </c>
      <c r="AE32" s="26">
        <v>13</v>
      </c>
      <c r="AF32" s="29" t="s">
        <v>1151</v>
      </c>
      <c r="AG32" s="25">
        <v>347396.1975378457</v>
      </c>
      <c r="AH32" s="25" t="s">
        <v>229</v>
      </c>
      <c r="AI32" s="25" t="s">
        <v>69</v>
      </c>
      <c r="AJ32" s="25" t="s">
        <v>229</v>
      </c>
      <c r="AK32" s="17" t="s">
        <v>230</v>
      </c>
      <c r="AL32" s="27">
        <f t="shared" si="1"/>
        <v>1.5322003659566461</v>
      </c>
      <c r="AM32" s="27">
        <f t="shared" si="2"/>
        <v>5.4917131899895653</v>
      </c>
      <c r="AN32" s="27">
        <f t="shared" si="3"/>
        <v>3.1763806922432702</v>
      </c>
      <c r="AO32" s="27">
        <f t="shared" si="4"/>
        <v>6.0306828314276686</v>
      </c>
      <c r="AP32" s="27">
        <f t="shared" si="5"/>
        <v>0.57213704031756474</v>
      </c>
      <c r="AQ32" s="27">
        <f t="shared" si="6"/>
        <v>0.682929365601042</v>
      </c>
      <c r="AR32" s="27">
        <f t="shared" si="7"/>
        <v>0.78953562487852713</v>
      </c>
      <c r="AS32" s="27">
        <f t="shared" si="8"/>
        <v>0.7548554272490311</v>
      </c>
      <c r="AT32" s="27">
        <f t="shared" si="10"/>
        <v>70</v>
      </c>
      <c r="AU32" s="27" t="b">
        <f t="shared" si="9"/>
        <v>0</v>
      </c>
      <c r="AV32" s="11"/>
    </row>
    <row r="33" spans="1:48" s="30" customFormat="1">
      <c r="A33" s="25" t="s">
        <v>1097</v>
      </c>
      <c r="B33" s="26" t="s">
        <v>247</v>
      </c>
      <c r="C33" s="26" t="s">
        <v>248</v>
      </c>
      <c r="D33" s="26" t="s">
        <v>290</v>
      </c>
      <c r="E33" s="25" t="s">
        <v>233</v>
      </c>
      <c r="F33" s="25">
        <v>356</v>
      </c>
      <c r="G33" s="25" t="s">
        <v>86</v>
      </c>
      <c r="H33" s="25" t="s">
        <v>87</v>
      </c>
      <c r="I33" s="50">
        <v>22.980224110000002</v>
      </c>
      <c r="J33" s="50">
        <v>72.567336560000001</v>
      </c>
      <c r="K33" s="25" t="s">
        <v>62</v>
      </c>
      <c r="L33" s="16" t="s">
        <v>249</v>
      </c>
      <c r="M33" s="25" t="s">
        <v>88</v>
      </c>
      <c r="N33" s="26" t="s">
        <v>61</v>
      </c>
      <c r="O33" s="25">
        <v>6496.8076170000004</v>
      </c>
      <c r="P33" s="25">
        <v>1417173173</v>
      </c>
      <c r="Q33" s="27">
        <v>0.14028357699999999</v>
      </c>
      <c r="R33" s="25" t="s">
        <v>64</v>
      </c>
      <c r="S33" s="28">
        <v>1982</v>
      </c>
      <c r="T33" s="39">
        <v>34.012551731023294</v>
      </c>
      <c r="U33" s="26" t="s">
        <v>66</v>
      </c>
      <c r="V33" s="26" t="s">
        <v>1160</v>
      </c>
      <c r="W33" s="26">
        <v>1715500</v>
      </c>
      <c r="X33" s="16" t="s">
        <v>250</v>
      </c>
      <c r="Y33" s="26">
        <v>300</v>
      </c>
      <c r="Z33" s="26" t="s">
        <v>251</v>
      </c>
      <c r="AA33" s="26">
        <v>5720782.1879421901</v>
      </c>
      <c r="AB33" s="29" t="s">
        <v>68</v>
      </c>
      <c r="AC33" s="29" t="s">
        <v>1149</v>
      </c>
      <c r="AD33" s="39">
        <v>0.96026490066225101</v>
      </c>
      <c r="AE33" s="26">
        <v>151</v>
      </c>
      <c r="AF33" s="29" t="s">
        <v>1152</v>
      </c>
      <c r="AG33" s="25">
        <v>1771471.8247930985</v>
      </c>
      <c r="AH33" s="25" t="s">
        <v>252</v>
      </c>
      <c r="AI33" s="25" t="s">
        <v>69</v>
      </c>
      <c r="AJ33" s="25" t="s">
        <v>252</v>
      </c>
      <c r="AK33" s="17" t="s">
        <v>253</v>
      </c>
      <c r="AL33" s="27">
        <f t="shared" si="1"/>
        <v>1.5442237635019243</v>
      </c>
      <c r="AM33" s="27">
        <f t="shared" si="2"/>
        <v>6.2343909755512454</v>
      </c>
      <c r="AN33" s="27">
        <f t="shared" si="3"/>
        <v>2.4785664955938436</v>
      </c>
      <c r="AO33" s="27">
        <f t="shared" si="4"/>
        <v>6.7574554887437168</v>
      </c>
      <c r="AP33" s="27">
        <f t="shared" si="5"/>
        <v>0.57669301898283742</v>
      </c>
      <c r="AQ33" s="27">
        <f t="shared" si="6"/>
        <v>0.91901588429410341</v>
      </c>
      <c r="AR33" s="27">
        <f t="shared" si="7"/>
        <v>0.61122838503147447</v>
      </c>
      <c r="AS33" s="27">
        <f t="shared" si="8"/>
        <v>0.93833929414792938</v>
      </c>
      <c r="AT33" s="27">
        <f t="shared" si="10"/>
        <v>76.099999999999994</v>
      </c>
      <c r="AU33" s="27" t="b">
        <f t="shared" si="9"/>
        <v>0</v>
      </c>
      <c r="AV33" s="11"/>
    </row>
    <row r="34" spans="1:48">
      <c r="A34" s="25" t="s">
        <v>1098</v>
      </c>
      <c r="B34" s="26" t="s">
        <v>978</v>
      </c>
      <c r="C34" s="26" t="s">
        <v>979</v>
      </c>
      <c r="D34" s="26" t="s">
        <v>290</v>
      </c>
      <c r="E34" s="25" t="s">
        <v>233</v>
      </c>
      <c r="F34" s="25">
        <v>356</v>
      </c>
      <c r="G34" s="25" t="s">
        <v>86</v>
      </c>
      <c r="H34" s="25" t="s">
        <v>87</v>
      </c>
      <c r="I34" s="50">
        <v>21.10777777777778</v>
      </c>
      <c r="J34" s="50">
        <v>72.804444444444442</v>
      </c>
      <c r="K34" s="25" t="s">
        <v>859</v>
      </c>
      <c r="L34" s="16" t="s">
        <v>980</v>
      </c>
      <c r="M34" s="25" t="s">
        <v>88</v>
      </c>
      <c r="N34" s="26" t="s">
        <v>61</v>
      </c>
      <c r="O34" s="25">
        <v>6496.8076170000004</v>
      </c>
      <c r="P34" s="25">
        <v>1417173173</v>
      </c>
      <c r="Q34" s="27">
        <v>0.14028357699999999</v>
      </c>
      <c r="R34" s="25" t="s">
        <v>64</v>
      </c>
      <c r="S34" s="28" t="s">
        <v>65</v>
      </c>
      <c r="T34" s="39">
        <v>8.6595932109979916</v>
      </c>
      <c r="U34" s="26" t="s">
        <v>66</v>
      </c>
      <c r="V34" s="26" t="s">
        <v>1159</v>
      </c>
      <c r="W34" s="26">
        <v>395817.25996007636</v>
      </c>
      <c r="X34" s="16" t="s">
        <v>67</v>
      </c>
      <c r="Y34" s="52">
        <v>39.581725996007641</v>
      </c>
      <c r="Z34" s="26" t="s">
        <v>67</v>
      </c>
      <c r="AA34" s="29">
        <v>3984875.0535427099</v>
      </c>
      <c r="AB34" s="29" t="s">
        <v>68</v>
      </c>
      <c r="AC34" s="29" t="s">
        <v>1149</v>
      </c>
      <c r="AD34" s="39">
        <v>0.83333333333333304</v>
      </c>
      <c r="AE34" s="26">
        <v>6</v>
      </c>
      <c r="AF34" s="29" t="s">
        <v>1151</v>
      </c>
      <c r="AG34" s="27">
        <v>408731.63729879406</v>
      </c>
      <c r="AH34" s="25" t="s">
        <v>981</v>
      </c>
      <c r="AI34" s="25" t="s">
        <v>69</v>
      </c>
      <c r="AJ34" s="25" t="s">
        <v>982</v>
      </c>
      <c r="AK34" s="59" t="s">
        <v>983</v>
      </c>
      <c r="AL34" s="27">
        <f t="shared" si="1"/>
        <v>0.98495883760195901</v>
      </c>
      <c r="AM34" s="27">
        <f t="shared" si="2"/>
        <v>5.5974958252846765</v>
      </c>
      <c r="AN34" s="27">
        <f t="shared" si="3"/>
        <v>1.6083305142252011</v>
      </c>
      <c r="AO34" s="27">
        <f t="shared" si="4"/>
        <v>6.6004148175515533</v>
      </c>
      <c r="AP34" s="27">
        <f t="shared" si="5"/>
        <v>0.36477296385364372</v>
      </c>
      <c r="AQ34" s="27">
        <f t="shared" si="6"/>
        <v>0.71655613428931386</v>
      </c>
      <c r="AR34" s="27">
        <f t="shared" si="7"/>
        <v>0.38886349678689075</v>
      </c>
      <c r="AS34" s="27">
        <f t="shared" si="8"/>
        <v>0.89869219223693086</v>
      </c>
      <c r="AT34" s="27">
        <f t="shared" si="10"/>
        <v>59.2</v>
      </c>
      <c r="AU34" s="27" t="b">
        <f t="shared" si="9"/>
        <v>0</v>
      </c>
      <c r="AV34"/>
    </row>
    <row r="35" spans="1:48">
      <c r="A35" s="25" t="s">
        <v>1099</v>
      </c>
      <c r="B35" s="26" t="s">
        <v>984</v>
      </c>
      <c r="C35" s="26" t="s">
        <v>309</v>
      </c>
      <c r="D35" s="26" t="s">
        <v>290</v>
      </c>
      <c r="E35" s="25" t="s">
        <v>233</v>
      </c>
      <c r="F35" s="25">
        <v>356</v>
      </c>
      <c r="G35" s="25" t="s">
        <v>86</v>
      </c>
      <c r="H35" s="25" t="s">
        <v>87</v>
      </c>
      <c r="I35" s="50">
        <v>19.250833333333329</v>
      </c>
      <c r="J35" s="50">
        <v>73.117777777777775</v>
      </c>
      <c r="K35" s="25" t="s">
        <v>859</v>
      </c>
      <c r="L35" s="16" t="s">
        <v>985</v>
      </c>
      <c r="M35" s="25" t="s">
        <v>88</v>
      </c>
      <c r="N35" s="26" t="s">
        <v>61</v>
      </c>
      <c r="O35" s="25">
        <v>6496.8076170000004</v>
      </c>
      <c r="P35" s="25">
        <v>1417173173</v>
      </c>
      <c r="Q35" s="27">
        <v>0.14028357699999999</v>
      </c>
      <c r="R35" s="25" t="s">
        <v>64</v>
      </c>
      <c r="S35" s="28" t="s">
        <v>65</v>
      </c>
      <c r="T35" s="39">
        <v>7.0098679047036452</v>
      </c>
      <c r="U35" s="26" t="s">
        <v>66</v>
      </c>
      <c r="V35" s="26" t="s">
        <v>1160</v>
      </c>
      <c r="W35" s="26">
        <v>350437.74988946045</v>
      </c>
      <c r="X35" s="16" t="s">
        <v>67</v>
      </c>
      <c r="Y35" s="52">
        <v>35.043774988946048</v>
      </c>
      <c r="Z35" s="26" t="s">
        <v>67</v>
      </c>
      <c r="AA35" s="29">
        <v>2570327.4569441499</v>
      </c>
      <c r="AB35" s="29" t="s">
        <v>68</v>
      </c>
      <c r="AC35" s="29" t="s">
        <v>1149</v>
      </c>
      <c r="AD35" s="39">
        <v>1</v>
      </c>
      <c r="AE35" s="26">
        <v>3</v>
      </c>
      <c r="AF35" s="29" t="s">
        <v>1151</v>
      </c>
      <c r="AG35" s="27">
        <v>361871.5244961062</v>
      </c>
      <c r="AH35" s="25" t="s">
        <v>986</v>
      </c>
      <c r="AI35" s="25" t="s">
        <v>69</v>
      </c>
      <c r="AJ35" s="25" t="s">
        <v>986</v>
      </c>
      <c r="AK35" s="59" t="s">
        <v>987</v>
      </c>
      <c r="AL35" s="27">
        <f t="shared" si="1"/>
        <v>0.90362535394549404</v>
      </c>
      <c r="AM35" s="27">
        <f t="shared" si="2"/>
        <v>5.5446121224181439</v>
      </c>
      <c r="AN35" s="27">
        <f t="shared" si="3"/>
        <v>1.5568302698489935</v>
      </c>
      <c r="AO35" s="27">
        <f t="shared" si="4"/>
        <v>6.4099886244689266</v>
      </c>
      <c r="AP35" s="27">
        <f t="shared" si="5"/>
        <v>0.33395358730756214</v>
      </c>
      <c r="AQ35" s="27">
        <f t="shared" si="6"/>
        <v>0.69974517057385066</v>
      </c>
      <c r="AR35" s="27">
        <f t="shared" si="7"/>
        <v>0.37570402472360792</v>
      </c>
      <c r="AS35" s="27">
        <f t="shared" si="8"/>
        <v>0.85061645092510219</v>
      </c>
      <c r="AT35" s="27">
        <f t="shared" si="10"/>
        <v>56.5</v>
      </c>
      <c r="AU35" s="27" t="b">
        <f t="shared" si="9"/>
        <v>0</v>
      </c>
      <c r="AV35"/>
    </row>
    <row r="36" spans="1:48">
      <c r="A36" s="25" t="s">
        <v>1100</v>
      </c>
      <c r="B36" s="26" t="s">
        <v>988</v>
      </c>
      <c r="C36" s="26" t="s">
        <v>989</v>
      </c>
      <c r="D36" s="26" t="s">
        <v>290</v>
      </c>
      <c r="E36" s="25" t="s">
        <v>233</v>
      </c>
      <c r="F36" s="25">
        <v>356</v>
      </c>
      <c r="G36" s="25" t="s">
        <v>86</v>
      </c>
      <c r="H36" s="25" t="s">
        <v>87</v>
      </c>
      <c r="I36" s="50">
        <v>21.141388888888891</v>
      </c>
      <c r="J36" s="50">
        <v>79.152222222222221</v>
      </c>
      <c r="K36" s="25" t="s">
        <v>859</v>
      </c>
      <c r="L36" s="16" t="s">
        <v>73</v>
      </c>
      <c r="M36" s="25" t="s">
        <v>88</v>
      </c>
      <c r="N36" s="26" t="s">
        <v>61</v>
      </c>
      <c r="O36" s="25">
        <v>6496.8076170000004</v>
      </c>
      <c r="P36" s="25">
        <v>1417173173</v>
      </c>
      <c r="Q36" s="27">
        <v>0.14028357699999999</v>
      </c>
      <c r="R36" s="25" t="s">
        <v>64</v>
      </c>
      <c r="S36" s="28" t="s">
        <v>65</v>
      </c>
      <c r="T36" s="39">
        <v>12.925804635148261</v>
      </c>
      <c r="U36" s="26" t="s">
        <v>66</v>
      </c>
      <c r="V36" s="26" t="s">
        <v>1159</v>
      </c>
      <c r="W36" s="26">
        <v>311215.276282962</v>
      </c>
      <c r="X36" s="16" t="s">
        <v>67</v>
      </c>
      <c r="Y36" s="52">
        <v>31.121527628296203</v>
      </c>
      <c r="Z36" s="26" t="s">
        <v>67</v>
      </c>
      <c r="AA36" s="29">
        <v>2126652.1627429798</v>
      </c>
      <c r="AB36" s="29" t="s">
        <v>68</v>
      </c>
      <c r="AC36" s="29" t="s">
        <v>1149</v>
      </c>
      <c r="AD36" s="39">
        <v>1</v>
      </c>
      <c r="AE36" s="26">
        <v>1</v>
      </c>
      <c r="AF36" s="29" t="s">
        <v>1151</v>
      </c>
      <c r="AG36" s="27">
        <v>321369.33452664962</v>
      </c>
      <c r="AH36" s="25" t="s">
        <v>990</v>
      </c>
      <c r="AI36" s="25" t="s">
        <v>69</v>
      </c>
      <c r="AJ36" s="25" t="s">
        <v>990</v>
      </c>
      <c r="AK36" s="59" t="s">
        <v>991</v>
      </c>
      <c r="AL36" s="27">
        <f t="shared" ref="AL36:AL67" si="11">LOG10(T36 + 1)</f>
        <v>1.1438202981731664</v>
      </c>
      <c r="AM36" s="27">
        <f t="shared" ref="AM36:AM67" si="12">LOG10(W36 + 1)</f>
        <v>5.493062302054895</v>
      </c>
      <c r="AN36" s="27">
        <f t="shared" ref="AN36:AN67" si="13">LOG10(Y36+ 1)</f>
        <v>1.5067961911758623</v>
      </c>
      <c r="AO36" s="27">
        <f t="shared" ref="AO36:AO67" si="14">LOG10(AA36+ 1)</f>
        <v>6.3276966663064398</v>
      </c>
      <c r="AP36" s="27">
        <f t="shared" ref="AP36:AP67" si="15">IF(ISBLANK(T36),$AP$2, MIN(1, MAX(0, (AL36 - $AL$1) / ($AL$2 - $AL$1))))</f>
        <v>0.42496971126808158</v>
      </c>
      <c r="AQ36" s="27">
        <f t="shared" ref="AQ36:AQ67" si="16">IF(ISBLANK(W36), $AQ$2, MIN(1, MAX(0, (AM36 - $AM$1) / ($AM$2 - $AM$1))))</f>
        <v>0.68335822879989161</v>
      </c>
      <c r="AR36" s="27">
        <f t="shared" ref="AR36:AR67" si="17">IF(ISBLANK(Y36), $AR$2, MIN(1, MAX(0, (AN36 - $AN$1) / ($AN$2 - $AN$1))))</f>
        <v>0.36291919101094799</v>
      </c>
      <c r="AS36" s="27">
        <f t="shared" ref="AS36:AS67" si="18">IF(ISBLANK(AA36), $AS$2, MIN(1, MAX(0, (AO36 - $AO$1) / ($AO$2 - $AO$1))))</f>
        <v>0.82984070138865629</v>
      </c>
      <c r="AT36" s="27">
        <f t="shared" si="10"/>
        <v>57.5</v>
      </c>
      <c r="AU36" s="27" t="b">
        <f t="shared" si="9"/>
        <v>0</v>
      </c>
      <c r="AV36"/>
    </row>
    <row r="37" spans="1:48" s="30" customFormat="1" ht="16.5" customHeight="1">
      <c r="A37" s="25" t="s">
        <v>1101</v>
      </c>
      <c r="B37" s="26" t="s">
        <v>913</v>
      </c>
      <c r="C37" s="26" t="s">
        <v>992</v>
      </c>
      <c r="D37" s="26" t="s">
        <v>290</v>
      </c>
      <c r="E37" s="25" t="s">
        <v>233</v>
      </c>
      <c r="F37" s="25">
        <v>356</v>
      </c>
      <c r="G37" s="25" t="s">
        <v>86</v>
      </c>
      <c r="H37" s="25" t="s">
        <v>87</v>
      </c>
      <c r="I37" s="50">
        <v>19.27805555555555</v>
      </c>
      <c r="J37" s="50">
        <v>73.124722222222218</v>
      </c>
      <c r="K37" s="25" t="s">
        <v>859</v>
      </c>
      <c r="L37" s="16" t="s">
        <v>73</v>
      </c>
      <c r="M37" s="25" t="s">
        <v>88</v>
      </c>
      <c r="N37" s="26" t="s">
        <v>61</v>
      </c>
      <c r="O37" s="25">
        <v>6496.8076170000004</v>
      </c>
      <c r="P37" s="25">
        <v>1417173173</v>
      </c>
      <c r="Q37" s="27">
        <v>0.14028357699999999</v>
      </c>
      <c r="R37" s="25" t="s">
        <v>64</v>
      </c>
      <c r="S37" s="28" t="s">
        <v>65</v>
      </c>
      <c r="T37" s="39">
        <v>13.619557229528809</v>
      </c>
      <c r="U37" s="26" t="s">
        <v>66</v>
      </c>
      <c r="V37" s="26" t="s">
        <v>1159</v>
      </c>
      <c r="W37" s="60">
        <v>296262.77701512253</v>
      </c>
      <c r="X37" s="16" t="s">
        <v>67</v>
      </c>
      <c r="Y37" s="52">
        <v>29.626277701512254</v>
      </c>
      <c r="Z37" s="26" t="s">
        <v>67</v>
      </c>
      <c r="AA37" s="29">
        <v>2325637.9117650399</v>
      </c>
      <c r="AB37" s="29" t="s">
        <v>68</v>
      </c>
      <c r="AC37" s="29" t="s">
        <v>1149</v>
      </c>
      <c r="AD37" s="39">
        <v>1</v>
      </c>
      <c r="AE37" s="26">
        <v>2</v>
      </c>
      <c r="AF37" s="29" t="s">
        <v>1151</v>
      </c>
      <c r="AG37" s="27">
        <v>305928.9782671234</v>
      </c>
      <c r="AH37" s="25" t="s">
        <v>993</v>
      </c>
      <c r="AI37" s="25" t="s">
        <v>69</v>
      </c>
      <c r="AJ37" s="25" t="s">
        <v>993</v>
      </c>
      <c r="AK37" s="17" t="s">
        <v>994</v>
      </c>
      <c r="AL37" s="27">
        <f t="shared" si="11"/>
        <v>1.1649342197022612</v>
      </c>
      <c r="AM37" s="27">
        <f t="shared" si="12"/>
        <v>5.4716785552798441</v>
      </c>
      <c r="AN37" s="27">
        <f t="shared" si="13"/>
        <v>1.4860942161363828</v>
      </c>
      <c r="AO37" s="27">
        <f t="shared" si="14"/>
        <v>6.3665422852843276</v>
      </c>
      <c r="AP37" s="27">
        <f t="shared" si="15"/>
        <v>0.43297032637413163</v>
      </c>
      <c r="AQ37" s="27">
        <f t="shared" si="16"/>
        <v>0.67656064520323445</v>
      </c>
      <c r="AR37" s="27">
        <f t="shared" si="17"/>
        <v>0.35762937024433689</v>
      </c>
      <c r="AS37" s="27">
        <f t="shared" si="18"/>
        <v>0.83964781825029766</v>
      </c>
      <c r="AT37" s="27">
        <f t="shared" si="10"/>
        <v>57.7</v>
      </c>
      <c r="AU37" s="27" t="b">
        <f t="shared" si="9"/>
        <v>0</v>
      </c>
      <c r="AV37" s="11"/>
    </row>
    <row r="38" spans="1:48">
      <c r="A38" s="25" t="s">
        <v>1102</v>
      </c>
      <c r="B38" s="26" t="s">
        <v>914</v>
      </c>
      <c r="C38" s="26" t="s">
        <v>995</v>
      </c>
      <c r="D38" s="26" t="s">
        <v>290</v>
      </c>
      <c r="E38" s="25" t="s">
        <v>233</v>
      </c>
      <c r="F38" s="25">
        <v>356</v>
      </c>
      <c r="G38" s="25" t="s">
        <v>86</v>
      </c>
      <c r="H38" s="25" t="s">
        <v>87</v>
      </c>
      <c r="I38" s="50">
        <v>10.80361111111111</v>
      </c>
      <c r="J38" s="50">
        <v>78.724444444444444</v>
      </c>
      <c r="K38" s="25" t="s">
        <v>859</v>
      </c>
      <c r="L38" s="16" t="s">
        <v>73</v>
      </c>
      <c r="M38" s="25" t="s">
        <v>88</v>
      </c>
      <c r="N38" s="26" t="s">
        <v>61</v>
      </c>
      <c r="O38" s="25">
        <v>6496.8076170000004</v>
      </c>
      <c r="P38" s="25">
        <v>1417173173</v>
      </c>
      <c r="Q38" s="27">
        <v>0.14028357699999999</v>
      </c>
      <c r="R38" s="25" t="s">
        <v>64</v>
      </c>
      <c r="S38" s="28" t="s">
        <v>65</v>
      </c>
      <c r="T38" s="39">
        <v>19.157960070760851</v>
      </c>
      <c r="U38" s="26" t="s">
        <v>66</v>
      </c>
      <c r="V38" s="26" t="s">
        <v>1159</v>
      </c>
      <c r="W38" s="26">
        <v>187140.25858173537</v>
      </c>
      <c r="X38" s="16" t="s">
        <v>67</v>
      </c>
      <c r="Y38" s="52">
        <v>18.714025858173539</v>
      </c>
      <c r="Z38" s="26" t="s">
        <v>67</v>
      </c>
      <c r="AA38" s="29">
        <v>1355993.43741214</v>
      </c>
      <c r="AB38" s="29" t="s">
        <v>89</v>
      </c>
      <c r="AC38" s="29" t="s">
        <v>70</v>
      </c>
      <c r="AD38" s="39" t="s">
        <v>70</v>
      </c>
      <c r="AE38" s="29" t="s">
        <v>70</v>
      </c>
      <c r="AF38" s="29" t="s">
        <v>70</v>
      </c>
      <c r="AG38" s="27">
        <v>193246.10630255856</v>
      </c>
      <c r="AH38" s="25" t="s">
        <v>996</v>
      </c>
      <c r="AI38" s="25" t="s">
        <v>69</v>
      </c>
      <c r="AJ38" s="25" t="s">
        <v>996</v>
      </c>
      <c r="AK38" s="17" t="s">
        <v>997</v>
      </c>
      <c r="AL38" s="27">
        <f t="shared" si="11"/>
        <v>1.3044465806089369</v>
      </c>
      <c r="AM38" s="27">
        <f t="shared" si="12"/>
        <v>5.2721695459127478</v>
      </c>
      <c r="AN38" s="27">
        <f t="shared" si="13"/>
        <v>1.2947753218671558</v>
      </c>
      <c r="AO38" s="27">
        <f t="shared" si="14"/>
        <v>6.1322579079630746</v>
      </c>
      <c r="AP38" s="27">
        <f t="shared" si="15"/>
        <v>0.48583519567908606</v>
      </c>
      <c r="AQ38" s="27">
        <f t="shared" si="16"/>
        <v>0.61313961877014034</v>
      </c>
      <c r="AR38" s="27">
        <f t="shared" si="17"/>
        <v>0.30874308485270535</v>
      </c>
      <c r="AS38" s="27">
        <f t="shared" si="18"/>
        <v>0.78049946825092453</v>
      </c>
      <c r="AT38" s="27">
        <f t="shared" si="10"/>
        <v>54.7</v>
      </c>
      <c r="AU38" s="27" t="b">
        <f t="shared" si="9"/>
        <v>0</v>
      </c>
      <c r="AV38"/>
    </row>
    <row r="39" spans="1:48">
      <c r="A39" s="25" t="s">
        <v>1103</v>
      </c>
      <c r="B39" s="26" t="s">
        <v>292</v>
      </c>
      <c r="C39" s="26" t="s">
        <v>293</v>
      </c>
      <c r="D39" s="26" t="s">
        <v>290</v>
      </c>
      <c r="E39" s="25" t="s">
        <v>233</v>
      </c>
      <c r="F39" s="25">
        <v>356</v>
      </c>
      <c r="G39" s="25" t="s">
        <v>86</v>
      </c>
      <c r="H39" s="25" t="s">
        <v>87</v>
      </c>
      <c r="I39" s="50">
        <v>21.156111111111109</v>
      </c>
      <c r="J39" s="50">
        <v>72.816388888888881</v>
      </c>
      <c r="K39" s="25" t="s">
        <v>62</v>
      </c>
      <c r="L39" s="16" t="s">
        <v>73</v>
      </c>
      <c r="M39" s="25" t="s">
        <v>88</v>
      </c>
      <c r="N39" s="26" t="s">
        <v>61</v>
      </c>
      <c r="O39" s="25">
        <v>6496.8076170000004</v>
      </c>
      <c r="P39" s="25">
        <v>1417173173</v>
      </c>
      <c r="Q39" s="27">
        <v>0.14028357699999999</v>
      </c>
      <c r="R39" s="25" t="s">
        <v>64</v>
      </c>
      <c r="S39" s="28" t="s">
        <v>65</v>
      </c>
      <c r="T39" s="39">
        <v>245.31539559803008</v>
      </c>
      <c r="U39" s="26" t="s">
        <v>66</v>
      </c>
      <c r="V39" s="26" t="s">
        <v>1160</v>
      </c>
      <c r="W39" s="26">
        <v>711432.88656104181</v>
      </c>
      <c r="X39" s="16" t="s">
        <v>67</v>
      </c>
      <c r="Y39" s="26">
        <v>71.14328865610419</v>
      </c>
      <c r="Z39" s="26" t="s">
        <v>67</v>
      </c>
      <c r="AA39" s="26">
        <v>5117779.8383660298</v>
      </c>
      <c r="AB39" s="29" t="s">
        <v>68</v>
      </c>
      <c r="AC39" s="29" t="s">
        <v>1149</v>
      </c>
      <c r="AD39" s="39">
        <v>1</v>
      </c>
      <c r="AE39" s="26">
        <v>4</v>
      </c>
      <c r="AF39" s="29" t="s">
        <v>1151</v>
      </c>
      <c r="AG39" s="25">
        <v>734644.89290242561</v>
      </c>
      <c r="AH39" s="25" t="s">
        <v>65</v>
      </c>
      <c r="AI39" s="25" t="s">
        <v>69</v>
      </c>
      <c r="AJ39" s="25" t="s">
        <v>65</v>
      </c>
      <c r="AK39" s="17" t="s">
        <v>70</v>
      </c>
      <c r="AL39" s="27">
        <f t="shared" si="11"/>
        <v>2.3914915576544065</v>
      </c>
      <c r="AM39" s="27">
        <f t="shared" si="12"/>
        <v>5.8521345473777009</v>
      </c>
      <c r="AN39" s="27">
        <f t="shared" si="13"/>
        <v>1.8581959357733773</v>
      </c>
      <c r="AO39" s="27">
        <f t="shared" si="14"/>
        <v>6.7090816839102452</v>
      </c>
      <c r="AP39" s="27">
        <f t="shared" si="15"/>
        <v>0.89774486638243778</v>
      </c>
      <c r="AQ39" s="27">
        <f t="shared" si="16"/>
        <v>0.79750209846397457</v>
      </c>
      <c r="AR39" s="27">
        <f t="shared" si="17"/>
        <v>0.45270973818380855</v>
      </c>
      <c r="AS39" s="27">
        <f t="shared" si="18"/>
        <v>0.92612665422799056</v>
      </c>
      <c r="AT39" s="27">
        <f t="shared" si="10"/>
        <v>76.900000000000006</v>
      </c>
      <c r="AU39" s="27" t="b">
        <f t="shared" si="9"/>
        <v>0</v>
      </c>
      <c r="AV39"/>
    </row>
    <row r="40" spans="1:48" s="30" customFormat="1">
      <c r="A40" s="25" t="s">
        <v>1104</v>
      </c>
      <c r="B40" s="26" t="s">
        <v>267</v>
      </c>
      <c r="C40" s="26" t="s">
        <v>268</v>
      </c>
      <c r="D40" s="26" t="s">
        <v>290</v>
      </c>
      <c r="E40" s="25" t="s">
        <v>233</v>
      </c>
      <c r="F40" s="25">
        <v>356</v>
      </c>
      <c r="G40" s="25" t="s">
        <v>86</v>
      </c>
      <c r="H40" s="25" t="s">
        <v>87</v>
      </c>
      <c r="I40" s="50">
        <v>13.13435818</v>
      </c>
      <c r="J40" s="50">
        <v>80.268473619999995</v>
      </c>
      <c r="K40" s="25" t="s">
        <v>62</v>
      </c>
      <c r="L40" s="16" t="s">
        <v>269</v>
      </c>
      <c r="M40" s="25" t="s">
        <v>88</v>
      </c>
      <c r="N40" s="26" t="s">
        <v>61</v>
      </c>
      <c r="O40" s="25">
        <v>6496.8076170000004</v>
      </c>
      <c r="P40" s="25">
        <v>1417173173</v>
      </c>
      <c r="Q40" s="27">
        <v>0.14028357699999999</v>
      </c>
      <c r="R40" s="25" t="s">
        <v>64</v>
      </c>
      <c r="S40" s="28">
        <v>1985</v>
      </c>
      <c r="T40" s="39">
        <v>2.5004035865213488</v>
      </c>
      <c r="U40" s="26" t="s">
        <v>66</v>
      </c>
      <c r="V40" s="26" t="s">
        <v>1160</v>
      </c>
      <c r="W40" s="26">
        <v>1022000</v>
      </c>
      <c r="X40" s="16" t="s">
        <v>270</v>
      </c>
      <c r="Y40" s="26">
        <v>2000</v>
      </c>
      <c r="Z40" s="26" t="s">
        <v>271</v>
      </c>
      <c r="AA40" s="26">
        <v>3666417.97361098</v>
      </c>
      <c r="AB40" s="29" t="s">
        <v>68</v>
      </c>
      <c r="AC40" s="29" t="s">
        <v>1149</v>
      </c>
      <c r="AD40" s="39">
        <v>1</v>
      </c>
      <c r="AE40" s="26">
        <v>1</v>
      </c>
      <c r="AF40" s="29" t="s">
        <v>1151</v>
      </c>
      <c r="AG40" s="25">
        <v>1055344.9168980168</v>
      </c>
      <c r="AH40" s="25" t="s">
        <v>272</v>
      </c>
      <c r="AI40" s="25" t="s">
        <v>69</v>
      </c>
      <c r="AJ40" s="25" t="s">
        <v>272</v>
      </c>
      <c r="AK40" s="17" t="s">
        <v>273</v>
      </c>
      <c r="AL40" s="27">
        <f t="shared" si="11"/>
        <v>0.54411812014868355</v>
      </c>
      <c r="AM40" s="27">
        <f t="shared" si="12"/>
        <v>6.0094513207441631</v>
      </c>
      <c r="AN40" s="27">
        <f t="shared" si="13"/>
        <v>3.3012470886362113</v>
      </c>
      <c r="AO40" s="27">
        <f t="shared" si="14"/>
        <v>6.5642420917037905</v>
      </c>
      <c r="AP40" s="27">
        <f t="shared" si="15"/>
        <v>0.19772692749519366</v>
      </c>
      <c r="AQ40" s="27">
        <f t="shared" si="16"/>
        <v>0.84751082375259279</v>
      </c>
      <c r="AR40" s="27">
        <f t="shared" si="17"/>
        <v>0.82144180075940965</v>
      </c>
      <c r="AS40" s="27">
        <f t="shared" si="18"/>
        <v>0.88955988442649125</v>
      </c>
      <c r="AT40" s="27">
        <f t="shared" si="10"/>
        <v>68.900000000000006</v>
      </c>
      <c r="AU40" s="27" t="b">
        <f t="shared" si="9"/>
        <v>0</v>
      </c>
      <c r="AV40" s="11"/>
    </row>
    <row r="41" spans="1:48">
      <c r="A41" s="25" t="s">
        <v>1105</v>
      </c>
      <c r="B41" s="26" t="s">
        <v>275</v>
      </c>
      <c r="C41" s="26" t="s">
        <v>268</v>
      </c>
      <c r="D41" s="26" t="s">
        <v>290</v>
      </c>
      <c r="E41" s="25" t="s">
        <v>233</v>
      </c>
      <c r="F41" s="25">
        <v>356</v>
      </c>
      <c r="G41" s="25" t="s">
        <v>86</v>
      </c>
      <c r="H41" s="25" t="s">
        <v>87</v>
      </c>
      <c r="I41" s="50">
        <v>12.95491878</v>
      </c>
      <c r="J41" s="50">
        <v>80.223927500000002</v>
      </c>
      <c r="K41" s="25" t="s">
        <v>62</v>
      </c>
      <c r="L41" s="16" t="s">
        <v>276</v>
      </c>
      <c r="M41" s="25" t="s">
        <v>88</v>
      </c>
      <c r="N41" s="26" t="s">
        <v>61</v>
      </c>
      <c r="O41" s="25">
        <v>6496.8076170000004</v>
      </c>
      <c r="P41" s="25">
        <v>1417173173</v>
      </c>
      <c r="Q41" s="27">
        <v>0.14028357699999999</v>
      </c>
      <c r="R41" s="25" t="s">
        <v>64</v>
      </c>
      <c r="S41" s="28">
        <v>1989</v>
      </c>
      <c r="T41" s="39">
        <v>99.477807161078644</v>
      </c>
      <c r="U41" s="26" t="s">
        <v>66</v>
      </c>
      <c r="V41" s="26" t="s">
        <v>1160</v>
      </c>
      <c r="W41" s="26">
        <v>1022000</v>
      </c>
      <c r="X41" s="16" t="s">
        <v>277</v>
      </c>
      <c r="Y41" s="26">
        <v>102.2</v>
      </c>
      <c r="Z41" s="26" t="s">
        <v>67</v>
      </c>
      <c r="AA41" s="26">
        <v>3354976.5105618699</v>
      </c>
      <c r="AB41" s="29" t="s">
        <v>68</v>
      </c>
      <c r="AC41" s="29" t="s">
        <v>1149</v>
      </c>
      <c r="AD41" s="39">
        <v>1</v>
      </c>
      <c r="AE41" s="26">
        <v>8</v>
      </c>
      <c r="AF41" s="29" t="s">
        <v>1151</v>
      </c>
      <c r="AG41" s="25">
        <v>1055344.9168980168</v>
      </c>
      <c r="AH41" s="25" t="s">
        <v>272</v>
      </c>
      <c r="AI41" s="25" t="s">
        <v>69</v>
      </c>
      <c r="AJ41" s="25" t="s">
        <v>272</v>
      </c>
      <c r="AK41" s="17" t="s">
        <v>273</v>
      </c>
      <c r="AL41" s="27">
        <f t="shared" si="11"/>
        <v>2.002070148405112</v>
      </c>
      <c r="AM41" s="27">
        <f t="shared" si="12"/>
        <v>6.0094513207441631</v>
      </c>
      <c r="AN41" s="27">
        <f t="shared" si="13"/>
        <v>2.0136796972911926</v>
      </c>
      <c r="AO41" s="27">
        <f t="shared" si="14"/>
        <v>6.5256896133063176</v>
      </c>
      <c r="AP41" s="27">
        <f t="shared" si="15"/>
        <v>0.75018294591371149</v>
      </c>
      <c r="AQ41" s="27">
        <f t="shared" si="16"/>
        <v>0.84751082375259279</v>
      </c>
      <c r="AR41" s="27">
        <f t="shared" si="17"/>
        <v>0.49243934026183445</v>
      </c>
      <c r="AS41" s="27">
        <f t="shared" si="18"/>
        <v>0.87982677498202244</v>
      </c>
      <c r="AT41" s="27">
        <f t="shared" si="10"/>
        <v>74.2</v>
      </c>
      <c r="AU41" s="27" t="b">
        <f t="shared" si="9"/>
        <v>0</v>
      </c>
      <c r="AV41"/>
    </row>
    <row r="42" spans="1:48" s="30" customFormat="1" ht="18" customHeight="1">
      <c r="A42" s="25" t="s">
        <v>1106</v>
      </c>
      <c r="B42" s="26" t="s">
        <v>279</v>
      </c>
      <c r="C42" s="26" t="s">
        <v>280</v>
      </c>
      <c r="D42" s="26" t="s">
        <v>290</v>
      </c>
      <c r="E42" s="25" t="s">
        <v>233</v>
      </c>
      <c r="F42" s="25">
        <v>356</v>
      </c>
      <c r="G42" s="25" t="s">
        <v>86</v>
      </c>
      <c r="H42" s="25" t="s">
        <v>87</v>
      </c>
      <c r="I42" s="50">
        <v>28.740419639999999</v>
      </c>
      <c r="J42" s="50">
        <v>77.157411580000002</v>
      </c>
      <c r="K42" s="25" t="s">
        <v>62</v>
      </c>
      <c r="L42" s="16" t="s">
        <v>281</v>
      </c>
      <c r="M42" s="25" t="s">
        <v>88</v>
      </c>
      <c r="N42" s="26" t="s">
        <v>61</v>
      </c>
      <c r="O42" s="25">
        <v>6496.8076170000004</v>
      </c>
      <c r="P42" s="25">
        <v>1417173173</v>
      </c>
      <c r="Q42" s="27">
        <v>0.14028357699999999</v>
      </c>
      <c r="R42" s="25" t="s">
        <v>64</v>
      </c>
      <c r="S42" s="28">
        <v>1994</v>
      </c>
      <c r="T42" s="39">
        <v>28.651016848742259</v>
      </c>
      <c r="U42" s="26" t="s">
        <v>66</v>
      </c>
      <c r="V42" s="26" t="s">
        <v>1159</v>
      </c>
      <c r="W42" s="26">
        <v>1022000</v>
      </c>
      <c r="X42" s="16" t="s">
        <v>282</v>
      </c>
      <c r="Y42" s="26">
        <v>102.2</v>
      </c>
      <c r="Z42" s="26" t="s">
        <v>67</v>
      </c>
      <c r="AA42" s="26">
        <v>5204019.2096847296</v>
      </c>
      <c r="AB42" s="29" t="s">
        <v>68</v>
      </c>
      <c r="AC42" s="29" t="s">
        <v>1149</v>
      </c>
      <c r="AD42" s="39">
        <v>1</v>
      </c>
      <c r="AE42" s="26">
        <v>8</v>
      </c>
      <c r="AF42" s="29" t="s">
        <v>1151</v>
      </c>
      <c r="AG42" s="25">
        <v>1055344.9168980168</v>
      </c>
      <c r="AH42" s="25" t="s">
        <v>283</v>
      </c>
      <c r="AI42" s="25" t="s">
        <v>69</v>
      </c>
      <c r="AJ42" s="25" t="s">
        <v>283</v>
      </c>
      <c r="AK42" s="17" t="s">
        <v>284</v>
      </c>
      <c r="AL42" s="27">
        <f t="shared" si="11"/>
        <v>1.4720395916033273</v>
      </c>
      <c r="AM42" s="27">
        <f t="shared" si="12"/>
        <v>6.0094513207441631</v>
      </c>
      <c r="AN42" s="27">
        <f t="shared" si="13"/>
        <v>2.0136796972911926</v>
      </c>
      <c r="AO42" s="27">
        <f t="shared" si="14"/>
        <v>6.7163389744647821</v>
      </c>
      <c r="AP42" s="27">
        <f t="shared" si="15"/>
        <v>0.54934055509715829</v>
      </c>
      <c r="AQ42" s="27">
        <f t="shared" si="16"/>
        <v>0.84751082375259279</v>
      </c>
      <c r="AR42" s="27">
        <f t="shared" si="17"/>
        <v>0.49243934026183445</v>
      </c>
      <c r="AS42" s="27">
        <f t="shared" si="18"/>
        <v>0.92795885817891077</v>
      </c>
      <c r="AT42" s="27">
        <f t="shared" si="10"/>
        <v>70.400000000000006</v>
      </c>
      <c r="AU42" s="27" t="b">
        <f t="shared" si="9"/>
        <v>0</v>
      </c>
      <c r="AV42" s="11"/>
    </row>
    <row r="43" spans="1:48">
      <c r="A43" s="25" t="s">
        <v>1107</v>
      </c>
      <c r="B43" s="26" t="s">
        <v>286</v>
      </c>
      <c r="C43" s="26" t="s">
        <v>280</v>
      </c>
      <c r="D43" s="26" t="s">
        <v>290</v>
      </c>
      <c r="E43" s="25" t="s">
        <v>233</v>
      </c>
      <c r="F43" s="25">
        <v>356</v>
      </c>
      <c r="G43" s="25" t="s">
        <v>86</v>
      </c>
      <c r="H43" s="25" t="s">
        <v>87</v>
      </c>
      <c r="I43" s="50">
        <v>28.625024740000001</v>
      </c>
      <c r="J43" s="50">
        <v>77.327442168999994</v>
      </c>
      <c r="K43" s="25" t="s">
        <v>62</v>
      </c>
      <c r="L43" s="16" t="s">
        <v>101</v>
      </c>
      <c r="M43" s="25" t="s">
        <v>88</v>
      </c>
      <c r="N43" s="26" t="s">
        <v>61</v>
      </c>
      <c r="O43" s="25">
        <v>6496.8076170000004</v>
      </c>
      <c r="P43" s="25">
        <v>1417173173</v>
      </c>
      <c r="Q43" s="27">
        <v>0.14028357699999999</v>
      </c>
      <c r="R43" s="25" t="s">
        <v>64</v>
      </c>
      <c r="S43" s="28">
        <v>1984</v>
      </c>
      <c r="T43" s="39">
        <v>27.18456565797641</v>
      </c>
      <c r="U43" s="26" t="s">
        <v>520</v>
      </c>
      <c r="V43" s="26" t="s">
        <v>1159</v>
      </c>
      <c r="W43" s="26">
        <v>912500</v>
      </c>
      <c r="X43" s="16" t="s">
        <v>287</v>
      </c>
      <c r="Y43" s="26">
        <v>420</v>
      </c>
      <c r="Z43" s="26" t="s">
        <v>101</v>
      </c>
      <c r="AA43" s="26">
        <v>6941753.2429154096</v>
      </c>
      <c r="AB43" s="29" t="s">
        <v>68</v>
      </c>
      <c r="AC43" s="29" t="s">
        <v>1149</v>
      </c>
      <c r="AD43" s="39">
        <v>1</v>
      </c>
      <c r="AE43" s="26">
        <v>3</v>
      </c>
      <c r="AF43" s="29" t="s">
        <v>1151</v>
      </c>
      <c r="AG43" s="25">
        <v>942272.24723037216</v>
      </c>
      <c r="AH43" s="25" t="s">
        <v>288</v>
      </c>
      <c r="AI43" s="25" t="s">
        <v>69</v>
      </c>
      <c r="AJ43" s="25" t="s">
        <v>288</v>
      </c>
      <c r="AK43" s="17" t="s">
        <v>289</v>
      </c>
      <c r="AL43" s="27">
        <f t="shared" si="11"/>
        <v>1.4500113464545015</v>
      </c>
      <c r="AM43" s="27">
        <f t="shared" si="12"/>
        <v>5.9602333490674102</v>
      </c>
      <c r="AN43" s="27">
        <f t="shared" si="13"/>
        <v>2.6242820958356683</v>
      </c>
      <c r="AO43" s="27">
        <f t="shared" si="14"/>
        <v>6.8414692343951762</v>
      </c>
      <c r="AP43" s="27">
        <f t="shared" si="15"/>
        <v>0.54099347894389072</v>
      </c>
      <c r="AQ43" s="27">
        <f t="shared" si="16"/>
        <v>0.83186514292546199</v>
      </c>
      <c r="AR43" s="27">
        <f t="shared" si="17"/>
        <v>0.64846200195490522</v>
      </c>
      <c r="AS43" s="27">
        <f t="shared" si="18"/>
        <v>0.95954973288638989</v>
      </c>
      <c r="AT43" s="27">
        <f t="shared" si="10"/>
        <v>74.5</v>
      </c>
      <c r="AU43" s="27" t="b">
        <f t="shared" si="9"/>
        <v>0</v>
      </c>
      <c r="AV43"/>
    </row>
    <row r="44" spans="1:48">
      <c r="A44" s="25" t="s">
        <v>1108</v>
      </c>
      <c r="B44" s="26" t="s">
        <v>915</v>
      </c>
      <c r="C44" s="26" t="s">
        <v>998</v>
      </c>
      <c r="D44" s="26" t="s">
        <v>290</v>
      </c>
      <c r="E44" s="25" t="s">
        <v>233</v>
      </c>
      <c r="F44" s="25">
        <v>356</v>
      </c>
      <c r="G44" s="25" t="s">
        <v>86</v>
      </c>
      <c r="H44" s="25" t="s">
        <v>87</v>
      </c>
      <c r="I44" s="50">
        <v>26.947222222222219</v>
      </c>
      <c r="J44" s="50">
        <v>75.917777777777786</v>
      </c>
      <c r="K44" s="25" t="s">
        <v>859</v>
      </c>
      <c r="L44" s="16" t="s">
        <v>73</v>
      </c>
      <c r="M44" s="25" t="s">
        <v>88</v>
      </c>
      <c r="N44" s="26" t="s">
        <v>61</v>
      </c>
      <c r="O44" s="25">
        <v>6496.8076170000004</v>
      </c>
      <c r="P44" s="25">
        <v>1417173173</v>
      </c>
      <c r="Q44" s="27">
        <v>0.14028357699999999</v>
      </c>
      <c r="R44" s="25" t="s">
        <v>64</v>
      </c>
      <c r="S44" s="28" t="s">
        <v>65</v>
      </c>
      <c r="T44" s="39">
        <v>16.620533247168321</v>
      </c>
      <c r="U44" s="26" t="s">
        <v>66</v>
      </c>
      <c r="V44" s="26" t="s">
        <v>1160</v>
      </c>
      <c r="W44" s="26">
        <v>142784.90619725274</v>
      </c>
      <c r="X44" s="16" t="s">
        <v>67</v>
      </c>
      <c r="Y44" s="52">
        <v>14.278490619725275</v>
      </c>
      <c r="Z44" s="26" t="s">
        <v>67</v>
      </c>
      <c r="AA44" s="29">
        <v>780319.35785285395</v>
      </c>
      <c r="AB44" s="29" t="s">
        <v>68</v>
      </c>
      <c r="AC44" s="29" t="s">
        <v>1149</v>
      </c>
      <c r="AD44" s="39">
        <v>1</v>
      </c>
      <c r="AE44" s="26">
        <v>4</v>
      </c>
      <c r="AF44" s="29" t="s">
        <v>1151</v>
      </c>
      <c r="AG44" s="27">
        <v>147443.56650198705</v>
      </c>
      <c r="AH44" s="25" t="s">
        <v>999</v>
      </c>
      <c r="AI44" s="25" t="s">
        <v>69</v>
      </c>
      <c r="AJ44" s="25" t="s">
        <v>999</v>
      </c>
      <c r="AK44" s="17" t="s">
        <v>1000</v>
      </c>
      <c r="AL44" s="27">
        <f t="shared" si="11"/>
        <v>1.2460190472541466</v>
      </c>
      <c r="AM44" s="27">
        <f t="shared" si="12"/>
        <v>5.1546853421541989</v>
      </c>
      <c r="AN44" s="27">
        <f t="shared" si="13"/>
        <v>1.1840804518900037</v>
      </c>
      <c r="AO44" s="27">
        <f t="shared" si="14"/>
        <v>5.8922729374138383</v>
      </c>
      <c r="AP44" s="27">
        <f t="shared" si="15"/>
        <v>0.46369548064209354</v>
      </c>
      <c r="AQ44" s="27">
        <f t="shared" si="16"/>
        <v>0.57579309083298746</v>
      </c>
      <c r="AR44" s="27">
        <f t="shared" si="17"/>
        <v>0.28045805306971006</v>
      </c>
      <c r="AS44" s="27">
        <f t="shared" si="18"/>
        <v>0.71991192419470462</v>
      </c>
      <c r="AT44" s="27">
        <f t="shared" si="10"/>
        <v>51</v>
      </c>
      <c r="AU44" s="27" t="b">
        <f t="shared" si="9"/>
        <v>0</v>
      </c>
      <c r="AV44"/>
    </row>
    <row r="45" spans="1:48" s="30" customFormat="1">
      <c r="A45" s="25" t="s">
        <v>1109</v>
      </c>
      <c r="B45" s="26" t="s">
        <v>1001</v>
      </c>
      <c r="C45" s="26" t="s">
        <v>1002</v>
      </c>
      <c r="D45" s="26" t="s">
        <v>290</v>
      </c>
      <c r="E45" s="25" t="s">
        <v>233</v>
      </c>
      <c r="F45" s="25">
        <v>356</v>
      </c>
      <c r="G45" s="25" t="s">
        <v>86</v>
      </c>
      <c r="H45" s="25" t="s">
        <v>87</v>
      </c>
      <c r="I45" s="50">
        <v>25.191944444444449</v>
      </c>
      <c r="J45" s="50">
        <v>75.79805555555555</v>
      </c>
      <c r="K45" s="25" t="s">
        <v>859</v>
      </c>
      <c r="L45" s="16" t="s">
        <v>207</v>
      </c>
      <c r="M45" s="25" t="s">
        <v>88</v>
      </c>
      <c r="N45" s="26" t="s">
        <v>61</v>
      </c>
      <c r="O45" s="25">
        <v>6496.8076170000004</v>
      </c>
      <c r="P45" s="25">
        <v>1417173173</v>
      </c>
      <c r="Q45" s="27">
        <v>0.14028357699999999</v>
      </c>
      <c r="R45" s="25" t="s">
        <v>64</v>
      </c>
      <c r="S45" s="28" t="s">
        <v>65</v>
      </c>
      <c r="T45" s="39">
        <v>2.6252292300251776</v>
      </c>
      <c r="U45" s="26" t="s">
        <v>66</v>
      </c>
      <c r="V45" s="26" t="s">
        <v>1160</v>
      </c>
      <c r="W45" s="26">
        <v>134689.90581252537</v>
      </c>
      <c r="X45" s="16" t="s">
        <v>67</v>
      </c>
      <c r="Y45" s="52">
        <v>13.468990581252537</v>
      </c>
      <c r="Z45" s="26" t="s">
        <v>67</v>
      </c>
      <c r="AA45" s="29">
        <v>1067679.8007823699</v>
      </c>
      <c r="AB45" s="29" t="s">
        <v>68</v>
      </c>
      <c r="AC45" s="29" t="s">
        <v>1149</v>
      </c>
      <c r="AD45" s="39">
        <v>1</v>
      </c>
      <c r="AE45" s="26">
        <v>4</v>
      </c>
      <c r="AF45" s="29" t="s">
        <v>1151</v>
      </c>
      <c r="AG45" s="27">
        <v>139084.4495662635</v>
      </c>
      <c r="AH45" s="25" t="s">
        <v>1003</v>
      </c>
      <c r="AI45" s="25" t="s">
        <v>69</v>
      </c>
      <c r="AJ45" s="25" t="s">
        <v>1003</v>
      </c>
      <c r="AK45" s="17" t="s">
        <v>1004</v>
      </c>
      <c r="AL45" s="27">
        <f t="shared" si="11"/>
        <v>0.55933547302769748</v>
      </c>
      <c r="AM45" s="27">
        <f t="shared" si="12"/>
        <v>5.1293382736088837</v>
      </c>
      <c r="AN45" s="27">
        <f t="shared" si="13"/>
        <v>1.1604382339329002</v>
      </c>
      <c r="AO45" s="27">
        <f t="shared" si="14"/>
        <v>6.0284414332365346</v>
      </c>
      <c r="AP45" s="27">
        <f t="shared" si="15"/>
        <v>0.20349317907238959</v>
      </c>
      <c r="AQ45" s="27">
        <f t="shared" si="16"/>
        <v>0.56773562460971527</v>
      </c>
      <c r="AR45" s="27">
        <f t="shared" si="17"/>
        <v>0.2744169340325297</v>
      </c>
      <c r="AS45" s="27">
        <f t="shared" si="18"/>
        <v>0.75428955509736229</v>
      </c>
      <c r="AT45" s="27">
        <f t="shared" si="10"/>
        <v>45</v>
      </c>
      <c r="AU45" s="27" t="b">
        <f t="shared" si="9"/>
        <v>0</v>
      </c>
      <c r="AV45" s="11"/>
    </row>
    <row r="46" spans="1:48">
      <c r="A46" s="25" t="s">
        <v>1110</v>
      </c>
      <c r="B46" s="26" t="s">
        <v>1112</v>
      </c>
      <c r="C46" s="26" t="s">
        <v>291</v>
      </c>
      <c r="D46" s="26" t="s">
        <v>290</v>
      </c>
      <c r="E46" s="25" t="s">
        <v>233</v>
      </c>
      <c r="F46" s="25">
        <v>356</v>
      </c>
      <c r="G46" s="25" t="s">
        <v>86</v>
      </c>
      <c r="H46" s="25" t="s">
        <v>87</v>
      </c>
      <c r="I46" s="50">
        <v>22.97111111111111</v>
      </c>
      <c r="J46" s="50">
        <v>72.55083333333333</v>
      </c>
      <c r="K46" s="25" t="s">
        <v>62</v>
      </c>
      <c r="L46" s="16" t="s">
        <v>73</v>
      </c>
      <c r="M46" s="25" t="s">
        <v>88</v>
      </c>
      <c r="N46" s="26" t="s">
        <v>61</v>
      </c>
      <c r="O46" s="25">
        <v>6496.8076170000004</v>
      </c>
      <c r="P46" s="25">
        <v>1417173173</v>
      </c>
      <c r="Q46" s="27">
        <v>0.14028357699999999</v>
      </c>
      <c r="R46" s="25" t="s">
        <v>64</v>
      </c>
      <c r="S46" s="28" t="s">
        <v>65</v>
      </c>
      <c r="T46" s="39">
        <v>8.8707962550209363</v>
      </c>
      <c r="U46" s="26" t="s">
        <v>66</v>
      </c>
      <c r="V46" s="26" t="s">
        <v>1159</v>
      </c>
      <c r="W46" s="26">
        <v>755035.55248550605</v>
      </c>
      <c r="X46" s="16" t="s">
        <v>67</v>
      </c>
      <c r="Y46" s="26">
        <v>75.503555248550612</v>
      </c>
      <c r="Z46" s="26" t="s">
        <v>67</v>
      </c>
      <c r="AA46" s="26">
        <v>4908873.1783029502</v>
      </c>
      <c r="AB46" s="29" t="s">
        <v>68</v>
      </c>
      <c r="AC46" s="29" t="s">
        <v>1149</v>
      </c>
      <c r="AD46" s="39">
        <v>0.94117647058823495</v>
      </c>
      <c r="AE46" s="26">
        <v>17</v>
      </c>
      <c r="AF46" s="29" t="s">
        <v>1151</v>
      </c>
      <c r="AG46" s="30">
        <v>779670.18825133506</v>
      </c>
      <c r="AH46" s="25" t="s">
        <v>65</v>
      </c>
      <c r="AI46" s="25" t="s">
        <v>69</v>
      </c>
      <c r="AJ46" s="25" t="s">
        <v>65</v>
      </c>
      <c r="AK46" s="17" t="s">
        <v>70</v>
      </c>
      <c r="AL46" s="27">
        <f t="shared" si="11"/>
        <v>0.99435218764568334</v>
      </c>
      <c r="AM46" s="27">
        <f t="shared" si="12"/>
        <v>5.8779679770046762</v>
      </c>
      <c r="AN46" s="27">
        <f t="shared" si="13"/>
        <v>1.8836816180157099</v>
      </c>
      <c r="AO46" s="27">
        <f t="shared" si="14"/>
        <v>6.6909819006333739</v>
      </c>
      <c r="AP46" s="27">
        <f t="shared" si="15"/>
        <v>0.36833234898030898</v>
      </c>
      <c r="AQ46" s="27">
        <f t="shared" si="16"/>
        <v>0.80571417183563498</v>
      </c>
      <c r="AR46" s="27">
        <f t="shared" si="17"/>
        <v>0.45922190385494116</v>
      </c>
      <c r="AS46" s="27">
        <f t="shared" si="18"/>
        <v>0.92155711216797853</v>
      </c>
      <c r="AT46" s="27">
        <f t="shared" si="10"/>
        <v>63.9</v>
      </c>
      <c r="AU46" s="27" t="b">
        <f t="shared" si="9"/>
        <v>0</v>
      </c>
      <c r="AV46"/>
    </row>
    <row r="47" spans="1:48">
      <c r="A47" s="25" t="s">
        <v>1111</v>
      </c>
      <c r="B47" s="26" t="s">
        <v>1114</v>
      </c>
      <c r="C47" s="26" t="s">
        <v>1113</v>
      </c>
      <c r="D47" s="26" t="s">
        <v>290</v>
      </c>
      <c r="E47" s="25" t="s">
        <v>233</v>
      </c>
      <c r="F47" s="25">
        <v>356</v>
      </c>
      <c r="G47" s="25" t="s">
        <v>86</v>
      </c>
      <c r="H47" s="25" t="s">
        <v>87</v>
      </c>
      <c r="I47" s="50">
        <v>18.510555555555559</v>
      </c>
      <c r="J47" s="50">
        <v>73.913055555555559</v>
      </c>
      <c r="K47" s="25" t="s">
        <v>62</v>
      </c>
      <c r="L47" s="16" t="s">
        <v>73</v>
      </c>
      <c r="M47" s="25" t="s">
        <v>88</v>
      </c>
      <c r="N47" s="26" t="s">
        <v>61</v>
      </c>
      <c r="O47" s="25">
        <v>6496.8076170000004</v>
      </c>
      <c r="P47" s="25">
        <v>1417173173</v>
      </c>
      <c r="Q47" s="27">
        <v>0.14028357699999999</v>
      </c>
      <c r="R47" s="25" t="s">
        <v>64</v>
      </c>
      <c r="S47" s="28" t="s">
        <v>65</v>
      </c>
      <c r="T47" s="39">
        <v>4.8671379694258787</v>
      </c>
      <c r="U47" s="26" t="s">
        <v>66</v>
      </c>
      <c r="V47" s="26" t="s">
        <v>1160</v>
      </c>
      <c r="W47" s="26">
        <v>644282.25315670634</v>
      </c>
      <c r="X47" s="16" t="s">
        <v>67</v>
      </c>
      <c r="Y47" s="26">
        <v>64.42822531567063</v>
      </c>
      <c r="Z47" s="26" t="s">
        <v>67</v>
      </c>
      <c r="AA47" s="26">
        <v>4560400.8371595303</v>
      </c>
      <c r="AB47" s="29" t="s">
        <v>68</v>
      </c>
      <c r="AC47" s="29" t="s">
        <v>1149</v>
      </c>
      <c r="AD47" s="39">
        <v>1</v>
      </c>
      <c r="AE47" s="26">
        <v>2</v>
      </c>
      <c r="AF47" s="29" t="s">
        <v>1151</v>
      </c>
      <c r="AG47" s="30">
        <v>665303.32770697796</v>
      </c>
      <c r="AH47" s="25" t="s">
        <v>65</v>
      </c>
      <c r="AI47" s="25" t="s">
        <v>69</v>
      </c>
      <c r="AJ47" s="25" t="s">
        <v>65</v>
      </c>
      <c r="AK47" s="17" t="s">
        <v>70</v>
      </c>
      <c r="AL47" s="27">
        <f t="shared" si="11"/>
        <v>0.76842630104329679</v>
      </c>
      <c r="AM47" s="27">
        <f t="shared" si="12"/>
        <v>5.8090768428842088</v>
      </c>
      <c r="AN47" s="27">
        <f t="shared" si="13"/>
        <v>1.8157651405938839</v>
      </c>
      <c r="AO47" s="27">
        <f t="shared" si="14"/>
        <v>6.6590031119565642</v>
      </c>
      <c r="AP47" s="27">
        <f t="shared" si="15"/>
        <v>0.28272314281232974</v>
      </c>
      <c r="AQ47" s="27">
        <f t="shared" si="16"/>
        <v>0.78381467741219879</v>
      </c>
      <c r="AR47" s="27">
        <f t="shared" si="17"/>
        <v>0.44186771460604518</v>
      </c>
      <c r="AS47" s="27">
        <f t="shared" si="18"/>
        <v>0.9134836221348881</v>
      </c>
      <c r="AT47" s="27">
        <f t="shared" si="10"/>
        <v>60.5</v>
      </c>
      <c r="AU47" s="27" t="b">
        <f t="shared" si="9"/>
        <v>0</v>
      </c>
      <c r="AV47"/>
    </row>
    <row r="48" spans="1:48">
      <c r="A48" s="25" t="s">
        <v>297</v>
      </c>
      <c r="B48" s="26" t="s">
        <v>916</v>
      </c>
      <c r="C48" s="26" t="s">
        <v>1005</v>
      </c>
      <c r="D48" s="26" t="s">
        <v>290</v>
      </c>
      <c r="E48" s="25" t="s">
        <v>233</v>
      </c>
      <c r="F48" s="25">
        <v>356</v>
      </c>
      <c r="G48" s="25" t="s">
        <v>86</v>
      </c>
      <c r="H48" s="25" t="s">
        <v>87</v>
      </c>
      <c r="I48" s="50">
        <v>23.410833333333329</v>
      </c>
      <c r="J48" s="50">
        <v>85.255277777777778</v>
      </c>
      <c r="K48" s="25" t="s">
        <v>859</v>
      </c>
      <c r="L48" s="16" t="s">
        <v>73</v>
      </c>
      <c r="M48" s="25" t="s">
        <v>88</v>
      </c>
      <c r="N48" s="26" t="s">
        <v>61</v>
      </c>
      <c r="O48" s="25">
        <v>6496.8076170000004</v>
      </c>
      <c r="P48" s="25">
        <v>1417173173</v>
      </c>
      <c r="Q48" s="27">
        <v>0.14028357699999999</v>
      </c>
      <c r="R48" s="25" t="s">
        <v>64</v>
      </c>
      <c r="S48" s="28" t="s">
        <v>65</v>
      </c>
      <c r="T48" s="39">
        <v>22.95195861679786</v>
      </c>
      <c r="U48" s="26" t="s">
        <v>66</v>
      </c>
      <c r="V48" s="26" t="s">
        <v>1160</v>
      </c>
      <c r="W48" s="26">
        <v>117585.62583189427</v>
      </c>
      <c r="X48" s="16" t="s">
        <v>67</v>
      </c>
      <c r="Y48" s="52">
        <v>11.758562583189427</v>
      </c>
      <c r="Z48" s="26" t="s">
        <v>67</v>
      </c>
      <c r="AA48" s="29">
        <v>1122762.1665955901</v>
      </c>
      <c r="AB48" s="29" t="s">
        <v>68</v>
      </c>
      <c r="AC48" s="29" t="s">
        <v>1149</v>
      </c>
      <c r="AD48" s="39">
        <v>0.8</v>
      </c>
      <c r="AE48" s="26">
        <v>5</v>
      </c>
      <c r="AF48" s="29" t="s">
        <v>1151</v>
      </c>
      <c r="AG48" s="61">
        <v>121422.10618587256</v>
      </c>
      <c r="AH48" s="25" t="s">
        <v>1006</v>
      </c>
      <c r="AI48" s="25" t="s">
        <v>69</v>
      </c>
      <c r="AJ48" s="25" t="s">
        <v>1006</v>
      </c>
      <c r="AK48" s="17" t="s">
        <v>1007</v>
      </c>
      <c r="AL48" s="27">
        <f t="shared" si="11"/>
        <v>1.3793410326436055</v>
      </c>
      <c r="AM48" s="27">
        <f t="shared" si="12"/>
        <v>5.0703579283922275</v>
      </c>
      <c r="AN48" s="27">
        <f t="shared" si="13"/>
        <v>1.1058017482602764</v>
      </c>
      <c r="AO48" s="27">
        <f t="shared" si="14"/>
        <v>6.0502881567174125</v>
      </c>
      <c r="AP48" s="27">
        <f t="shared" si="15"/>
        <v>0.51421465533949162</v>
      </c>
      <c r="AQ48" s="27">
        <f t="shared" si="16"/>
        <v>0.54898662653246111</v>
      </c>
      <c r="AR48" s="27">
        <f t="shared" si="17"/>
        <v>0.26045608169962298</v>
      </c>
      <c r="AS48" s="27">
        <f t="shared" si="18"/>
        <v>0.75980506433259665</v>
      </c>
      <c r="AT48" s="27">
        <f t="shared" si="10"/>
        <v>52.1</v>
      </c>
      <c r="AU48" s="27" t="b">
        <f t="shared" si="9"/>
        <v>0</v>
      </c>
      <c r="AV48"/>
    </row>
    <row r="49" spans="1:48">
      <c r="A49" s="25" t="s">
        <v>298</v>
      </c>
      <c r="B49" s="26" t="s">
        <v>1115</v>
      </c>
      <c r="C49" s="26" t="s">
        <v>242</v>
      </c>
      <c r="D49" s="26" t="s">
        <v>290</v>
      </c>
      <c r="E49" s="25" t="s">
        <v>233</v>
      </c>
      <c r="F49" s="25">
        <v>356</v>
      </c>
      <c r="G49" s="25" t="s">
        <v>86</v>
      </c>
      <c r="H49" s="25" t="s">
        <v>87</v>
      </c>
      <c r="I49" s="50">
        <v>22.610277777777782</v>
      </c>
      <c r="J49" s="50">
        <v>88.326111111111103</v>
      </c>
      <c r="K49" s="25" t="s">
        <v>62</v>
      </c>
      <c r="L49" s="16" t="s">
        <v>73</v>
      </c>
      <c r="M49" s="25" t="s">
        <v>88</v>
      </c>
      <c r="N49" s="26" t="s">
        <v>61</v>
      </c>
      <c r="O49" s="25">
        <v>6496.8076170000004</v>
      </c>
      <c r="P49" s="25">
        <v>1417173173</v>
      </c>
      <c r="Q49" s="27">
        <v>0.14028357699999999</v>
      </c>
      <c r="R49" s="25" t="s">
        <v>64</v>
      </c>
      <c r="S49" s="28">
        <v>1927</v>
      </c>
      <c r="T49" s="39">
        <v>5.2924423814531885</v>
      </c>
      <c r="U49" s="26" t="s">
        <v>66</v>
      </c>
      <c r="V49" s="26" t="s">
        <v>1160</v>
      </c>
      <c r="W49" s="26">
        <v>1825000</v>
      </c>
      <c r="X49" s="16" t="s">
        <v>67</v>
      </c>
      <c r="Y49" s="26">
        <v>182.5</v>
      </c>
      <c r="Z49" s="26" t="s">
        <v>67</v>
      </c>
      <c r="AA49" s="26">
        <v>7464519.4573359601</v>
      </c>
      <c r="AB49" s="29" t="s">
        <v>68</v>
      </c>
      <c r="AC49" s="29" t="s">
        <v>1149</v>
      </c>
      <c r="AD49" s="39">
        <v>1</v>
      </c>
      <c r="AE49" s="26">
        <v>2</v>
      </c>
      <c r="AF49" s="29" t="s">
        <v>1151</v>
      </c>
      <c r="AG49" s="30">
        <v>1884544.4944607443</v>
      </c>
      <c r="AH49" s="25" t="s">
        <v>243</v>
      </c>
      <c r="AI49" s="25" t="s">
        <v>69</v>
      </c>
      <c r="AJ49" s="25" t="s">
        <v>244</v>
      </c>
      <c r="AK49" s="17" t="s">
        <v>245</v>
      </c>
      <c r="AL49" s="27">
        <f t="shared" si="11"/>
        <v>0.79881924749707856</v>
      </c>
      <c r="AM49" s="27">
        <f t="shared" si="12"/>
        <v>6.2612631067620077</v>
      </c>
      <c r="AN49" s="27">
        <f t="shared" si="13"/>
        <v>2.2636360685881081</v>
      </c>
      <c r="AO49" s="27">
        <f t="shared" si="14"/>
        <v>6.8730019126072746</v>
      </c>
      <c r="AP49" s="27">
        <f t="shared" si="15"/>
        <v>0.29423982227807571</v>
      </c>
      <c r="AQ49" s="27">
        <f t="shared" si="16"/>
        <v>0.92755814586533647</v>
      </c>
      <c r="AR49" s="27">
        <f t="shared" si="17"/>
        <v>0.55630882136746029</v>
      </c>
      <c r="AS49" s="27">
        <f t="shared" si="18"/>
        <v>0.96751059612717427</v>
      </c>
      <c r="AT49" s="27">
        <f t="shared" si="10"/>
        <v>68.599999999999994</v>
      </c>
      <c r="AU49" s="27" t="b">
        <f t="shared" si="9"/>
        <v>0</v>
      </c>
      <c r="AV49"/>
    </row>
    <row r="50" spans="1:48">
      <c r="A50" s="25" t="s">
        <v>299</v>
      </c>
      <c r="B50" s="26" t="s">
        <v>912</v>
      </c>
      <c r="C50" s="26" t="s">
        <v>1116</v>
      </c>
      <c r="D50" s="26" t="s">
        <v>290</v>
      </c>
      <c r="E50" s="25" t="s">
        <v>233</v>
      </c>
      <c r="F50" s="25">
        <v>356</v>
      </c>
      <c r="G50" s="25" t="s">
        <v>86</v>
      </c>
      <c r="H50" s="25" t="s">
        <v>87</v>
      </c>
      <c r="I50" s="50">
        <v>19.250833333333329</v>
      </c>
      <c r="J50" s="50">
        <v>73.117777777777775</v>
      </c>
      <c r="K50" s="25" t="s">
        <v>62</v>
      </c>
      <c r="L50" s="16" t="s">
        <v>73</v>
      </c>
      <c r="M50" s="25" t="s">
        <v>88</v>
      </c>
      <c r="N50" s="26" t="s">
        <v>61</v>
      </c>
      <c r="O50" s="25">
        <v>6496.8076170000004</v>
      </c>
      <c r="P50" s="25">
        <v>1417173173</v>
      </c>
      <c r="Q50" s="27">
        <v>0.14028357699999999</v>
      </c>
      <c r="R50" s="25" t="s">
        <v>64</v>
      </c>
      <c r="S50" s="28" t="s">
        <v>65</v>
      </c>
      <c r="T50" s="39">
        <v>7.0098679047036452</v>
      </c>
      <c r="U50" s="26" t="s">
        <v>66</v>
      </c>
      <c r="V50" s="26" t="s">
        <v>1160</v>
      </c>
      <c r="W50" s="26">
        <v>350437.74988946045</v>
      </c>
      <c r="X50" s="16" t="s">
        <v>67</v>
      </c>
      <c r="Y50" s="26">
        <v>35.043774988946048</v>
      </c>
      <c r="Z50" s="26" t="s">
        <v>67</v>
      </c>
      <c r="AA50" s="26">
        <v>2570327.4569441499</v>
      </c>
      <c r="AB50" s="29" t="s">
        <v>68</v>
      </c>
      <c r="AC50" s="29" t="s">
        <v>1149</v>
      </c>
      <c r="AD50" s="39">
        <v>1</v>
      </c>
      <c r="AE50" s="26">
        <v>3</v>
      </c>
      <c r="AF50" s="29" t="s">
        <v>1151</v>
      </c>
      <c r="AG50" s="30">
        <v>361871.5244961062</v>
      </c>
      <c r="AH50" s="25" t="s">
        <v>310</v>
      </c>
      <c r="AI50" s="25" t="s">
        <v>69</v>
      </c>
      <c r="AJ50" s="25" t="s">
        <v>310</v>
      </c>
      <c r="AK50" s="17" t="s">
        <v>311</v>
      </c>
      <c r="AL50" s="27">
        <f t="shared" si="11"/>
        <v>0.90362535394549404</v>
      </c>
      <c r="AM50" s="27">
        <f t="shared" si="12"/>
        <v>5.5446121224181439</v>
      </c>
      <c r="AN50" s="27">
        <f t="shared" si="13"/>
        <v>1.5568302698489935</v>
      </c>
      <c r="AO50" s="27">
        <f t="shared" si="14"/>
        <v>6.4099886244689266</v>
      </c>
      <c r="AP50" s="27">
        <f t="shared" si="15"/>
        <v>0.33395358730756214</v>
      </c>
      <c r="AQ50" s="27">
        <f t="shared" si="16"/>
        <v>0.69974517057385066</v>
      </c>
      <c r="AR50" s="27">
        <f t="shared" si="17"/>
        <v>0.37570402472360792</v>
      </c>
      <c r="AS50" s="27">
        <f t="shared" si="18"/>
        <v>0.85061645092510219</v>
      </c>
      <c r="AT50" s="27">
        <f t="shared" si="10"/>
        <v>56.5</v>
      </c>
      <c r="AU50" s="27" t="b">
        <f t="shared" si="9"/>
        <v>0</v>
      </c>
      <c r="AV50"/>
    </row>
    <row r="51" spans="1:48" s="30" customFormat="1">
      <c r="A51" s="25" t="s">
        <v>302</v>
      </c>
      <c r="B51" s="26" t="s">
        <v>256</v>
      </c>
      <c r="C51" s="26" t="s">
        <v>257</v>
      </c>
      <c r="D51" s="26" t="s">
        <v>290</v>
      </c>
      <c r="E51" s="25" t="s">
        <v>233</v>
      </c>
      <c r="F51" s="25">
        <v>356</v>
      </c>
      <c r="G51" s="25" t="s">
        <v>86</v>
      </c>
      <c r="H51" s="25" t="s">
        <v>87</v>
      </c>
      <c r="I51" s="50">
        <v>22.53893819</v>
      </c>
      <c r="J51" s="50">
        <v>88.423311709999993</v>
      </c>
      <c r="K51" s="25" t="s">
        <v>62</v>
      </c>
      <c r="L51" s="16" t="s">
        <v>258</v>
      </c>
      <c r="M51" s="25" t="s">
        <v>88</v>
      </c>
      <c r="N51" s="26" t="s">
        <v>61</v>
      </c>
      <c r="O51" s="25">
        <v>6496.8076170000004</v>
      </c>
      <c r="P51" s="25">
        <v>1417173173</v>
      </c>
      <c r="Q51" s="27">
        <v>0.14028357699999999</v>
      </c>
      <c r="R51" s="25" t="s">
        <v>64</v>
      </c>
      <c r="S51" s="28">
        <v>1941</v>
      </c>
      <c r="T51" s="39">
        <v>46.594505641168404</v>
      </c>
      <c r="U51" s="26" t="s">
        <v>66</v>
      </c>
      <c r="V51" s="26" t="s">
        <v>1160</v>
      </c>
      <c r="W51" s="26">
        <v>1460000</v>
      </c>
      <c r="X51" s="16" t="s">
        <v>259</v>
      </c>
      <c r="Y51" s="26">
        <v>1000</v>
      </c>
      <c r="Z51" s="26" t="s">
        <v>260</v>
      </c>
      <c r="AA51" s="26">
        <v>7011897.5632768497</v>
      </c>
      <c r="AB51" s="29" t="s">
        <v>68</v>
      </c>
      <c r="AC51" s="29" t="s">
        <v>1149</v>
      </c>
      <c r="AD51" s="39">
        <v>0.65714285714285703</v>
      </c>
      <c r="AE51" s="26">
        <v>35</v>
      </c>
      <c r="AF51" s="29" t="s">
        <v>1151</v>
      </c>
      <c r="AG51" s="25">
        <v>1507635.5955685955</v>
      </c>
      <c r="AH51" s="25" t="s">
        <v>261</v>
      </c>
      <c r="AI51" s="25" t="s">
        <v>69</v>
      </c>
      <c r="AJ51" s="25" t="s">
        <v>261</v>
      </c>
      <c r="AK51" s="17" t="s">
        <v>262</v>
      </c>
      <c r="AL51" s="27">
        <f t="shared" si="11"/>
        <v>1.6775568202110855</v>
      </c>
      <c r="AM51" s="27">
        <f t="shared" si="12"/>
        <v>6.1643531532463092</v>
      </c>
      <c r="AN51" s="27">
        <f t="shared" si="13"/>
        <v>3.0004340774793188</v>
      </c>
      <c r="AO51" s="27">
        <f t="shared" si="14"/>
        <v>6.8458356248022803</v>
      </c>
      <c r="AP51" s="27">
        <f t="shared" si="15"/>
        <v>0.62721638889179454</v>
      </c>
      <c r="AQ51" s="27">
        <f t="shared" si="16"/>
        <v>0.89675187429370951</v>
      </c>
      <c r="AR51" s="27">
        <f t="shared" si="17"/>
        <v>0.74457730303636771</v>
      </c>
      <c r="AS51" s="27">
        <f t="shared" si="18"/>
        <v>0.96065208888206588</v>
      </c>
      <c r="AT51" s="27">
        <f t="shared" si="10"/>
        <v>80.7</v>
      </c>
      <c r="AU51" s="27" t="b">
        <f t="shared" si="9"/>
        <v>0</v>
      </c>
      <c r="AV51" s="11"/>
    </row>
    <row r="52" spans="1:48" s="30" customFormat="1">
      <c r="A52" s="25" t="s">
        <v>306</v>
      </c>
      <c r="B52" s="26" t="s">
        <v>1008</v>
      </c>
      <c r="C52" s="26" t="s">
        <v>1009</v>
      </c>
      <c r="D52" s="26" t="s">
        <v>290</v>
      </c>
      <c r="E52" s="25" t="s">
        <v>233</v>
      </c>
      <c r="F52" s="25">
        <v>356</v>
      </c>
      <c r="G52" s="25" t="s">
        <v>86</v>
      </c>
      <c r="H52" s="25" t="s">
        <v>87</v>
      </c>
      <c r="I52" s="50">
        <v>27.041666666666671</v>
      </c>
      <c r="J52" s="50">
        <v>75.798888888888882</v>
      </c>
      <c r="K52" s="25" t="s">
        <v>859</v>
      </c>
      <c r="L52" s="16" t="s">
        <v>73</v>
      </c>
      <c r="M52" s="25" t="s">
        <v>88</v>
      </c>
      <c r="N52" s="26" t="s">
        <v>61</v>
      </c>
      <c r="O52" s="25">
        <v>6496.8076170000004</v>
      </c>
      <c r="P52" s="25">
        <v>1417173173</v>
      </c>
      <c r="Q52" s="27">
        <v>0.14028357699999999</v>
      </c>
      <c r="R52" s="25" t="s">
        <v>64</v>
      </c>
      <c r="S52" s="28" t="s">
        <v>65</v>
      </c>
      <c r="T52" s="39">
        <v>13.890573671439199</v>
      </c>
      <c r="U52" s="26" t="s">
        <v>66</v>
      </c>
      <c r="V52" s="26" t="s">
        <v>1160</v>
      </c>
      <c r="W52" s="26">
        <v>110946.82465156872</v>
      </c>
      <c r="X52" s="16" t="s">
        <v>67</v>
      </c>
      <c r="Y52" s="52">
        <v>11.094682465156872</v>
      </c>
      <c r="Z52" s="26" t="s">
        <v>67</v>
      </c>
      <c r="AA52" s="29">
        <v>796479.47501588101</v>
      </c>
      <c r="AB52" s="29" t="s">
        <v>68</v>
      </c>
      <c r="AC52" s="29" t="s">
        <v>1149</v>
      </c>
      <c r="AD52" s="39">
        <v>0.8</v>
      </c>
      <c r="AE52" s="26">
        <v>15</v>
      </c>
      <c r="AF52" s="29" t="s">
        <v>1151</v>
      </c>
      <c r="AG52" s="27">
        <v>114566.7000411043</v>
      </c>
      <c r="AH52" s="25" t="s">
        <v>1010</v>
      </c>
      <c r="AI52" s="25" t="s">
        <v>69</v>
      </c>
      <c r="AJ52" s="25" t="s">
        <v>1010</v>
      </c>
      <c r="AK52" s="17" t="s">
        <v>1011</v>
      </c>
      <c r="AL52" s="27">
        <f t="shared" si="11"/>
        <v>1.172911429621968</v>
      </c>
      <c r="AM52" s="27">
        <f t="shared" si="12"/>
        <v>5.0451187914613884</v>
      </c>
      <c r="AN52" s="27">
        <f t="shared" si="13"/>
        <v>1.0825944708425506</v>
      </c>
      <c r="AO52" s="27">
        <f t="shared" si="14"/>
        <v>5.9011751339390388</v>
      </c>
      <c r="AP52" s="27">
        <f t="shared" si="15"/>
        <v>0.43599309910253231</v>
      </c>
      <c r="AQ52" s="27">
        <f t="shared" si="16"/>
        <v>0.54096347020725499</v>
      </c>
      <c r="AR52" s="27">
        <f t="shared" si="17"/>
        <v>0.25452609976376045</v>
      </c>
      <c r="AS52" s="27">
        <f t="shared" si="18"/>
        <v>0.72215940753890462</v>
      </c>
      <c r="AT52" s="27">
        <f t="shared" si="10"/>
        <v>48.8</v>
      </c>
      <c r="AU52" s="27" t="b">
        <f t="shared" si="9"/>
        <v>0</v>
      </c>
      <c r="AV52" s="11"/>
    </row>
    <row r="53" spans="1:48" s="30" customFormat="1">
      <c r="A53" s="25" t="s">
        <v>307</v>
      </c>
      <c r="B53" s="26" t="s">
        <v>917</v>
      </c>
      <c r="C53" s="26" t="s">
        <v>1012</v>
      </c>
      <c r="D53" s="26" t="s">
        <v>290</v>
      </c>
      <c r="E53" s="25" t="s">
        <v>233</v>
      </c>
      <c r="F53" s="25">
        <v>356</v>
      </c>
      <c r="G53" s="25" t="s">
        <v>86</v>
      </c>
      <c r="H53" s="25" t="s">
        <v>87</v>
      </c>
      <c r="I53" s="50">
        <v>28.40166666666666</v>
      </c>
      <c r="J53" s="50">
        <v>77.171111111111117</v>
      </c>
      <c r="K53" s="25" t="s">
        <v>859</v>
      </c>
      <c r="L53" s="16" t="s">
        <v>73</v>
      </c>
      <c r="M53" s="25" t="s">
        <v>88</v>
      </c>
      <c r="N53" s="26" t="s">
        <v>61</v>
      </c>
      <c r="O53" s="25">
        <v>6496.8076170000004</v>
      </c>
      <c r="P53" s="25">
        <v>1417173173</v>
      </c>
      <c r="Q53" s="27">
        <v>0.14028357699999999</v>
      </c>
      <c r="R53" s="25" t="s">
        <v>64</v>
      </c>
      <c r="S53" s="28" t="s">
        <v>65</v>
      </c>
      <c r="T53" s="39">
        <v>14.026123403336989</v>
      </c>
      <c r="U53" s="26" t="s">
        <v>66</v>
      </c>
      <c r="V53" s="26" t="s">
        <v>1160</v>
      </c>
      <c r="W53" s="26">
        <v>84865.998806200863</v>
      </c>
      <c r="X53" s="16" t="s">
        <v>67</v>
      </c>
      <c r="Y53" s="52">
        <v>8.4865998806200871</v>
      </c>
      <c r="Z53" s="26" t="s">
        <v>67</v>
      </c>
      <c r="AA53" s="29">
        <v>698955.085189156</v>
      </c>
      <c r="AB53" s="29" t="s">
        <v>89</v>
      </c>
      <c r="AC53" s="29" t="s">
        <v>70</v>
      </c>
      <c r="AD53" s="39" t="s">
        <v>70</v>
      </c>
      <c r="AE53" s="29" t="s">
        <v>70</v>
      </c>
      <c r="AF53" s="29" t="s">
        <v>70</v>
      </c>
      <c r="AG53" s="27">
        <v>87634.931954596061</v>
      </c>
      <c r="AH53" s="25" t="s">
        <v>1013</v>
      </c>
      <c r="AI53" s="25" t="s">
        <v>69</v>
      </c>
      <c r="AJ53" s="25" t="s">
        <v>1013</v>
      </c>
      <c r="AK53" s="17" t="s">
        <v>1014</v>
      </c>
      <c r="AL53" s="27">
        <f t="shared" si="11"/>
        <v>1.1768469511993485</v>
      </c>
      <c r="AM53" s="27">
        <f t="shared" si="12"/>
        <v>4.9287388442768982</v>
      </c>
      <c r="AN53" s="27">
        <f t="shared" si="13"/>
        <v>0.97711058358865988</v>
      </c>
      <c r="AO53" s="27">
        <f t="shared" si="14"/>
        <v>5.8444498902533377</v>
      </c>
      <c r="AP53" s="27">
        <f t="shared" si="15"/>
        <v>0.43748437078973579</v>
      </c>
      <c r="AQ53" s="27">
        <f t="shared" si="16"/>
        <v>0.5039679694522553</v>
      </c>
      <c r="AR53" s="27">
        <f t="shared" si="17"/>
        <v>0.22757259140166541</v>
      </c>
      <c r="AS53" s="27">
        <f t="shared" si="18"/>
        <v>0.70783833071046165</v>
      </c>
      <c r="AT53" s="27">
        <f t="shared" si="10"/>
        <v>46.9</v>
      </c>
      <c r="AU53" s="27" t="b">
        <f t="shared" si="9"/>
        <v>0</v>
      </c>
      <c r="AV53" s="11"/>
    </row>
    <row r="54" spans="1:48" s="30" customFormat="1">
      <c r="A54" s="25" t="s">
        <v>308</v>
      </c>
      <c r="B54" s="26" t="s">
        <v>1117</v>
      </c>
      <c r="C54" s="26" t="s">
        <v>1118</v>
      </c>
      <c r="D54" s="26" t="s">
        <v>290</v>
      </c>
      <c r="E54" s="25" t="s">
        <v>233</v>
      </c>
      <c r="F54" s="25">
        <v>356</v>
      </c>
      <c r="G54" s="25" t="s">
        <v>86</v>
      </c>
      <c r="H54" s="25" t="s">
        <v>87</v>
      </c>
      <c r="I54" s="50">
        <v>21.10777777777778</v>
      </c>
      <c r="J54" s="50">
        <v>72.804444444444442</v>
      </c>
      <c r="K54" s="25" t="s">
        <v>62</v>
      </c>
      <c r="L54" s="16" t="s">
        <v>73</v>
      </c>
      <c r="M54" s="25" t="s">
        <v>88</v>
      </c>
      <c r="N54" s="26" t="s">
        <v>61</v>
      </c>
      <c r="O54" s="25">
        <v>6496.8076170000004</v>
      </c>
      <c r="P54" s="25">
        <v>1417173173</v>
      </c>
      <c r="Q54" s="27">
        <v>0.14028357699999999</v>
      </c>
      <c r="R54" s="25" t="s">
        <v>64</v>
      </c>
      <c r="S54" s="28" t="s">
        <v>65</v>
      </c>
      <c r="T54" s="39">
        <v>8.6595932109979916</v>
      </c>
      <c r="U54" s="26" t="s">
        <v>66</v>
      </c>
      <c r="V54" s="26" t="s">
        <v>1160</v>
      </c>
      <c r="W54" s="26">
        <v>395817.25996007636</v>
      </c>
      <c r="X54" s="16" t="s">
        <v>67</v>
      </c>
      <c r="Y54" s="26">
        <v>39.581725996007641</v>
      </c>
      <c r="Z54" s="26" t="s">
        <v>67</v>
      </c>
      <c r="AA54" s="26">
        <v>3984875.0535427099</v>
      </c>
      <c r="AB54" s="29" t="s">
        <v>68</v>
      </c>
      <c r="AC54" s="29" t="s">
        <v>1149</v>
      </c>
      <c r="AD54" s="39">
        <v>0.83333333333333304</v>
      </c>
      <c r="AE54" s="26">
        <v>6</v>
      </c>
      <c r="AF54" s="29" t="s">
        <v>1151</v>
      </c>
      <c r="AG54" s="25">
        <v>408731.63729879406</v>
      </c>
      <c r="AH54" s="25" t="s">
        <v>300</v>
      </c>
      <c r="AI54" s="25" t="s">
        <v>69</v>
      </c>
      <c r="AJ54" s="25" t="s">
        <v>300</v>
      </c>
      <c r="AK54" s="17" t="s">
        <v>301</v>
      </c>
      <c r="AL54" s="27">
        <f t="shared" si="11"/>
        <v>0.98495883760195901</v>
      </c>
      <c r="AM54" s="27">
        <f t="shared" si="12"/>
        <v>5.5974958252846765</v>
      </c>
      <c r="AN54" s="27">
        <f t="shared" si="13"/>
        <v>1.6083305142252011</v>
      </c>
      <c r="AO54" s="27">
        <f t="shared" si="14"/>
        <v>6.6004148175515533</v>
      </c>
      <c r="AP54" s="27">
        <f t="shared" si="15"/>
        <v>0.36477296385364372</v>
      </c>
      <c r="AQ54" s="27">
        <f t="shared" si="16"/>
        <v>0.71655613428931386</v>
      </c>
      <c r="AR54" s="27">
        <f t="shared" si="17"/>
        <v>0.38886349678689075</v>
      </c>
      <c r="AS54" s="27">
        <f t="shared" si="18"/>
        <v>0.89869219223693086</v>
      </c>
      <c r="AT54" s="27">
        <f t="shared" si="10"/>
        <v>59.2</v>
      </c>
      <c r="AU54" s="27" t="b">
        <f t="shared" si="9"/>
        <v>0</v>
      </c>
      <c r="AV54" s="11"/>
    </row>
    <row r="55" spans="1:48" s="30" customFormat="1">
      <c r="A55" s="25" t="s">
        <v>312</v>
      </c>
      <c r="B55" s="26" t="s">
        <v>918</v>
      </c>
      <c r="C55" s="26" t="s">
        <v>1015</v>
      </c>
      <c r="D55" s="26" t="s">
        <v>290</v>
      </c>
      <c r="E55" s="25" t="s">
        <v>233</v>
      </c>
      <c r="F55" s="25">
        <v>356</v>
      </c>
      <c r="G55" s="25" t="s">
        <v>86</v>
      </c>
      <c r="H55" s="25" t="s">
        <v>87</v>
      </c>
      <c r="I55" s="50">
        <v>26.746388888888891</v>
      </c>
      <c r="J55" s="50">
        <v>88.450277777777785</v>
      </c>
      <c r="K55" s="25" t="s">
        <v>859</v>
      </c>
      <c r="L55" s="16" t="s">
        <v>73</v>
      </c>
      <c r="M55" s="25" t="s">
        <v>88</v>
      </c>
      <c r="N55" s="26" t="s">
        <v>61</v>
      </c>
      <c r="O55" s="25">
        <v>6496.8076170000004</v>
      </c>
      <c r="P55" s="25">
        <v>1417173173</v>
      </c>
      <c r="Q55" s="27">
        <v>0.14028357699999999</v>
      </c>
      <c r="R55" s="25" t="s">
        <v>64</v>
      </c>
      <c r="S55" s="28" t="s">
        <v>65</v>
      </c>
      <c r="T55" s="39">
        <v>4.127519494439615</v>
      </c>
      <c r="U55" s="26" t="s">
        <v>66</v>
      </c>
      <c r="V55" s="26" t="s">
        <v>1160</v>
      </c>
      <c r="W55" s="26">
        <v>78944.110895976875</v>
      </c>
      <c r="X55" s="16" t="s">
        <v>67</v>
      </c>
      <c r="Y55" s="52">
        <v>7.8944110895976882</v>
      </c>
      <c r="Z55" s="26" t="s">
        <v>67</v>
      </c>
      <c r="AA55" s="29">
        <v>538202.70512944495</v>
      </c>
      <c r="AB55" s="29" t="s">
        <v>68</v>
      </c>
      <c r="AC55" s="29" t="s">
        <v>1149</v>
      </c>
      <c r="AD55" s="39">
        <v>1</v>
      </c>
      <c r="AE55" s="26">
        <v>8</v>
      </c>
      <c r="AF55" s="29" t="s">
        <v>1151</v>
      </c>
      <c r="AG55" s="27">
        <v>81519.829895403658</v>
      </c>
      <c r="AH55" s="25" t="s">
        <v>1016</v>
      </c>
      <c r="AI55" s="25" t="s">
        <v>69</v>
      </c>
      <c r="AJ55" s="25" t="s">
        <v>1016</v>
      </c>
      <c r="AK55" s="17" t="s">
        <v>1017</v>
      </c>
      <c r="AL55" s="27">
        <f t="shared" si="11"/>
        <v>0.70990732019817249</v>
      </c>
      <c r="AM55" s="27">
        <f t="shared" si="12"/>
        <v>4.8973252391366362</v>
      </c>
      <c r="AN55" s="27">
        <f t="shared" si="13"/>
        <v>0.94911719817542561</v>
      </c>
      <c r="AO55" s="27">
        <f t="shared" si="14"/>
        <v>5.7309466832302887</v>
      </c>
      <c r="AP55" s="27">
        <f t="shared" si="15"/>
        <v>0.26054877593808529</v>
      </c>
      <c r="AQ55" s="27">
        <f t="shared" si="16"/>
        <v>0.49398203905101939</v>
      </c>
      <c r="AR55" s="27">
        <f t="shared" si="17"/>
        <v>0.22041965110469955</v>
      </c>
      <c r="AS55" s="27">
        <f t="shared" si="18"/>
        <v>0.6791828672441762</v>
      </c>
      <c r="AT55" s="27">
        <f t="shared" si="10"/>
        <v>41.4</v>
      </c>
      <c r="AU55" s="27" t="b">
        <f t="shared" si="9"/>
        <v>0</v>
      </c>
      <c r="AV55" s="11"/>
    </row>
    <row r="56" spans="1:48">
      <c r="A56" s="25" t="s">
        <v>320</v>
      </c>
      <c r="B56" s="26" t="s">
        <v>237</v>
      </c>
      <c r="C56" s="26" t="s">
        <v>232</v>
      </c>
      <c r="D56" s="26" t="s">
        <v>290</v>
      </c>
      <c r="E56" s="25" t="s">
        <v>233</v>
      </c>
      <c r="F56" s="25">
        <v>356</v>
      </c>
      <c r="G56" s="25" t="s">
        <v>86</v>
      </c>
      <c r="H56" s="25" t="s">
        <v>87</v>
      </c>
      <c r="I56" s="50">
        <v>19.072318930000002</v>
      </c>
      <c r="J56" s="50">
        <v>72.926774030000004</v>
      </c>
      <c r="K56" s="25" t="s">
        <v>62</v>
      </c>
      <c r="L56" s="16" t="s">
        <v>101</v>
      </c>
      <c r="M56" s="25" t="s">
        <v>88</v>
      </c>
      <c r="N56" s="26" t="s">
        <v>61</v>
      </c>
      <c r="O56" s="25">
        <v>6496.8076170000004</v>
      </c>
      <c r="P56" s="25">
        <v>1417173173</v>
      </c>
      <c r="Q56" s="27">
        <v>0.14028357699999999</v>
      </c>
      <c r="R56" s="25" t="s">
        <v>64</v>
      </c>
      <c r="S56" s="28">
        <v>1927</v>
      </c>
      <c r="T56" s="39">
        <v>1.7344086263448</v>
      </c>
      <c r="U56" s="26" t="s">
        <v>188</v>
      </c>
      <c r="V56" s="26" t="s">
        <v>1160</v>
      </c>
      <c r="W56" s="26">
        <v>2007500</v>
      </c>
      <c r="X56" s="16" t="s">
        <v>238</v>
      </c>
      <c r="Y56" s="26">
        <v>1500</v>
      </c>
      <c r="Z56" s="26" t="s">
        <v>101</v>
      </c>
      <c r="AA56" s="26">
        <v>5928870.3878937298</v>
      </c>
      <c r="AB56" s="29" t="s">
        <v>89</v>
      </c>
      <c r="AC56" s="29" t="s">
        <v>70</v>
      </c>
      <c r="AD56" s="39" t="s">
        <v>70</v>
      </c>
      <c r="AE56" s="29" t="s">
        <v>70</v>
      </c>
      <c r="AF56" s="29" t="s">
        <v>70</v>
      </c>
      <c r="AG56" s="30">
        <v>2072998.9439068199</v>
      </c>
      <c r="AH56" s="25" t="s">
        <v>239</v>
      </c>
      <c r="AI56" s="25" t="s">
        <v>69</v>
      </c>
      <c r="AJ56" s="25" t="s">
        <v>239</v>
      </c>
      <c r="AK56" s="17" t="s">
        <v>240</v>
      </c>
      <c r="AL56" s="27">
        <f t="shared" si="11"/>
        <v>0.43686341546444551</v>
      </c>
      <c r="AM56" s="27">
        <f t="shared" si="12"/>
        <v>6.3026557702866457</v>
      </c>
      <c r="AN56" s="27">
        <f t="shared" si="13"/>
        <v>3.1763806922432702</v>
      </c>
      <c r="AO56" s="27">
        <f t="shared" si="14"/>
        <v>6.7729720295094307</v>
      </c>
      <c r="AP56" s="27">
        <f t="shared" si="15"/>
        <v>0.15708532478253814</v>
      </c>
      <c r="AQ56" s="27">
        <f t="shared" si="16"/>
        <v>0.94071627449251016</v>
      </c>
      <c r="AR56" s="27">
        <f t="shared" si="17"/>
        <v>0.78953562487852713</v>
      </c>
      <c r="AS56" s="27">
        <f t="shared" si="18"/>
        <v>0.94225666070255676</v>
      </c>
      <c r="AT56" s="27">
        <f t="shared" si="10"/>
        <v>70.7</v>
      </c>
      <c r="AU56" s="27" t="b">
        <f t="shared" si="9"/>
        <v>0</v>
      </c>
      <c r="AV56"/>
    </row>
    <row r="57" spans="1:48">
      <c r="A57" s="25" t="s">
        <v>321</v>
      </c>
      <c r="B57" s="26" t="s">
        <v>296</v>
      </c>
      <c r="C57" s="26" t="s">
        <v>232</v>
      </c>
      <c r="D57" s="26" t="s">
        <v>290</v>
      </c>
      <c r="E57" s="25" t="s">
        <v>233</v>
      </c>
      <c r="F57" s="25">
        <v>356</v>
      </c>
      <c r="G57" s="25" t="s">
        <v>86</v>
      </c>
      <c r="H57" s="25" t="s">
        <v>87</v>
      </c>
      <c r="I57" s="50">
        <v>19.175277777777779</v>
      </c>
      <c r="J57" s="50">
        <v>73.038333333333327</v>
      </c>
      <c r="K57" s="25" t="s">
        <v>62</v>
      </c>
      <c r="L57" s="16" t="s">
        <v>73</v>
      </c>
      <c r="M57" s="25" t="s">
        <v>88</v>
      </c>
      <c r="N57" s="26" t="s">
        <v>61</v>
      </c>
      <c r="O57" s="25">
        <v>6496.8076170000004</v>
      </c>
      <c r="P57" s="25">
        <v>1417173173</v>
      </c>
      <c r="Q57" s="27">
        <v>0.14028357699999999</v>
      </c>
      <c r="R57" s="25" t="s">
        <v>64</v>
      </c>
      <c r="S57" s="28" t="s">
        <v>65</v>
      </c>
      <c r="T57" s="39">
        <v>8.0451336284121968</v>
      </c>
      <c r="U57" s="26" t="s">
        <v>66</v>
      </c>
      <c r="V57" s="26" t="s">
        <v>1160</v>
      </c>
      <c r="W57" s="26">
        <v>458228.22200764553</v>
      </c>
      <c r="X57" s="16" t="s">
        <v>67</v>
      </c>
      <c r="Y57" s="26">
        <v>45</v>
      </c>
      <c r="Z57" s="26" t="s">
        <v>67</v>
      </c>
      <c r="AA57" s="26">
        <v>3233257.7248538299</v>
      </c>
      <c r="AB57" s="29" t="s">
        <v>68</v>
      </c>
      <c r="AC57" s="29" t="s">
        <v>1149</v>
      </c>
      <c r="AD57" s="39">
        <v>1</v>
      </c>
      <c r="AE57" s="26">
        <v>2</v>
      </c>
      <c r="AF57" s="29" t="s">
        <v>1151</v>
      </c>
      <c r="AG57" s="30">
        <v>473178.88931016112</v>
      </c>
      <c r="AH57" s="25" t="s">
        <v>65</v>
      </c>
      <c r="AI57" s="25" t="s">
        <v>69</v>
      </c>
      <c r="AJ57" s="25" t="s">
        <v>65</v>
      </c>
      <c r="AK57" s="17" t="s">
        <v>70</v>
      </c>
      <c r="AL57" s="27">
        <f t="shared" si="11"/>
        <v>0.95641498729902286</v>
      </c>
      <c r="AM57" s="27">
        <f t="shared" si="12"/>
        <v>5.6610827813876448</v>
      </c>
      <c r="AN57" s="27">
        <f t="shared" si="13"/>
        <v>1.6627578316815741</v>
      </c>
      <c r="AO57" s="27">
        <f t="shared" si="14"/>
        <v>6.5096404581780902</v>
      </c>
      <c r="AP57" s="27">
        <f t="shared" si="15"/>
        <v>0.3539569551077642</v>
      </c>
      <c r="AQ57" s="27">
        <f t="shared" si="16"/>
        <v>0.73676950729236501</v>
      </c>
      <c r="AR57" s="27">
        <f t="shared" si="17"/>
        <v>0.4027709019307284</v>
      </c>
      <c r="AS57" s="27">
        <f t="shared" si="18"/>
        <v>0.87577494252280141</v>
      </c>
      <c r="AT57" s="27">
        <f t="shared" si="10"/>
        <v>59.2</v>
      </c>
      <c r="AU57" s="27" t="b">
        <f t="shared" si="9"/>
        <v>0</v>
      </c>
      <c r="AV57"/>
    </row>
    <row r="58" spans="1:48" s="30" customFormat="1">
      <c r="A58" s="25" t="s">
        <v>322</v>
      </c>
      <c r="B58" s="26" t="s">
        <v>294</v>
      </c>
      <c r="C58" s="26" t="s">
        <v>232</v>
      </c>
      <c r="D58" s="26" t="s">
        <v>290</v>
      </c>
      <c r="E58" s="25" t="s">
        <v>233</v>
      </c>
      <c r="F58" s="25">
        <v>356</v>
      </c>
      <c r="G58" s="25" t="s">
        <v>86</v>
      </c>
      <c r="H58" s="25" t="s">
        <v>87</v>
      </c>
      <c r="I58" s="50">
        <v>19.23416666666667</v>
      </c>
      <c r="J58" s="50">
        <v>72.827777777777769</v>
      </c>
      <c r="K58" s="25" t="s">
        <v>62</v>
      </c>
      <c r="L58" s="16" t="s">
        <v>73</v>
      </c>
      <c r="M58" s="25" t="s">
        <v>88</v>
      </c>
      <c r="N58" s="26" t="s">
        <v>61</v>
      </c>
      <c r="O58" s="25">
        <v>6496.8076170000004</v>
      </c>
      <c r="P58" s="25">
        <v>1417173173</v>
      </c>
      <c r="Q58" s="27">
        <v>0.14028357699999999</v>
      </c>
      <c r="R58" s="25" t="s">
        <v>64</v>
      </c>
      <c r="S58" s="28">
        <v>1972</v>
      </c>
      <c r="T58" s="39">
        <v>0.84215390169546012</v>
      </c>
      <c r="U58" s="26" t="s">
        <v>66</v>
      </c>
      <c r="V58" s="26" t="s">
        <v>1160</v>
      </c>
      <c r="W58" s="26">
        <v>695208.12471428979</v>
      </c>
      <c r="X58" s="16" t="s">
        <v>67</v>
      </c>
      <c r="Y58" s="26">
        <v>69.520812471428982</v>
      </c>
      <c r="Z58" s="26" t="s">
        <v>67</v>
      </c>
      <c r="AA58" s="26">
        <v>5292088.0040552104</v>
      </c>
      <c r="AB58" s="29" t="s">
        <v>89</v>
      </c>
      <c r="AC58" s="29" t="s">
        <v>70</v>
      </c>
      <c r="AD58" s="39" t="s">
        <v>70</v>
      </c>
      <c r="AE58" s="29" t="s">
        <v>70</v>
      </c>
      <c r="AF58" s="29" t="s">
        <v>70</v>
      </c>
      <c r="AG58" s="25">
        <v>717890.76379983232</v>
      </c>
      <c r="AH58" s="25" t="s">
        <v>65</v>
      </c>
      <c r="AI58" s="25" t="s">
        <v>69</v>
      </c>
      <c r="AJ58" s="25" t="s">
        <v>65</v>
      </c>
      <c r="AK58" s="17" t="s">
        <v>70</v>
      </c>
      <c r="AL58" s="27">
        <f t="shared" si="11"/>
        <v>0.26532591026094815</v>
      </c>
      <c r="AM58" s="27">
        <f t="shared" si="12"/>
        <v>5.842115463652144</v>
      </c>
      <c r="AN58" s="27">
        <f t="shared" si="13"/>
        <v>1.8483173071699064</v>
      </c>
      <c r="AO58" s="27">
        <f t="shared" si="14"/>
        <v>6.7236271396811844</v>
      </c>
      <c r="AP58" s="27">
        <f t="shared" si="15"/>
        <v>9.2085293713270275E-2</v>
      </c>
      <c r="AQ58" s="27">
        <f t="shared" si="16"/>
        <v>0.79431717676139235</v>
      </c>
      <c r="AR58" s="27">
        <f t="shared" si="17"/>
        <v>0.45018552613966184</v>
      </c>
      <c r="AS58" s="27">
        <f t="shared" si="18"/>
        <v>0.92979885686769193</v>
      </c>
      <c r="AT58" s="27">
        <f t="shared" si="10"/>
        <v>56.7</v>
      </c>
      <c r="AU58" s="27" t="b">
        <f t="shared" si="9"/>
        <v>0</v>
      </c>
      <c r="AV58" s="11"/>
    </row>
    <row r="59" spans="1:48" s="30" customFormat="1">
      <c r="A59" s="25" t="s">
        <v>323</v>
      </c>
      <c r="B59" s="26" t="s">
        <v>1119</v>
      </c>
      <c r="C59" s="26" t="s">
        <v>232</v>
      </c>
      <c r="D59" s="26" t="s">
        <v>290</v>
      </c>
      <c r="E59" s="25" t="s">
        <v>233</v>
      </c>
      <c r="F59" s="25">
        <v>356</v>
      </c>
      <c r="G59" s="25" t="s">
        <v>86</v>
      </c>
      <c r="H59" s="25" t="s">
        <v>87</v>
      </c>
      <c r="I59" s="50">
        <v>19.124205</v>
      </c>
      <c r="J59" s="50">
        <v>72.953772000000001</v>
      </c>
      <c r="K59" s="25" t="s">
        <v>62</v>
      </c>
      <c r="L59" s="16" t="s">
        <v>73</v>
      </c>
      <c r="M59" s="25" t="s">
        <v>88</v>
      </c>
      <c r="N59" s="26" t="s">
        <v>61</v>
      </c>
      <c r="O59" s="25">
        <v>6496.8076170000004</v>
      </c>
      <c r="P59" s="25">
        <v>1417173173</v>
      </c>
      <c r="Q59" s="27">
        <v>0.14028357699999999</v>
      </c>
      <c r="R59" s="25" t="s">
        <v>64</v>
      </c>
      <c r="S59" s="28" t="s">
        <v>65</v>
      </c>
      <c r="T59" s="39">
        <v>0.59776380632570936</v>
      </c>
      <c r="U59" s="26" t="s">
        <v>66</v>
      </c>
      <c r="V59" s="26" t="s">
        <v>1160</v>
      </c>
      <c r="W59" s="26">
        <v>2372500</v>
      </c>
      <c r="X59" s="16" t="s">
        <v>67</v>
      </c>
      <c r="Y59" s="26">
        <v>237.25</v>
      </c>
      <c r="Z59" s="26" t="s">
        <v>67</v>
      </c>
      <c r="AA59" s="26">
        <v>6188939.9967736499</v>
      </c>
      <c r="AB59" s="29" t="s">
        <v>89</v>
      </c>
      <c r="AC59" s="29" t="s">
        <v>70</v>
      </c>
      <c r="AD59" s="39" t="s">
        <v>70</v>
      </c>
      <c r="AE59" s="29" t="s">
        <v>70</v>
      </c>
      <c r="AF59" s="29" t="s">
        <v>70</v>
      </c>
      <c r="AG59" s="25">
        <v>2449907.8427989674</v>
      </c>
      <c r="AH59" s="25" t="s">
        <v>234</v>
      </c>
      <c r="AI59" s="25" t="s">
        <v>69</v>
      </c>
      <c r="AJ59" s="25" t="s">
        <v>234</v>
      </c>
      <c r="AK59" s="17" t="s">
        <v>235</v>
      </c>
      <c r="AL59" s="27">
        <f t="shared" si="11"/>
        <v>0.2035125789886516</v>
      </c>
      <c r="AM59" s="27">
        <f t="shared" si="12"/>
        <v>6.3752064041528138</v>
      </c>
      <c r="AN59" s="27">
        <f t="shared" si="13"/>
        <v>2.3770329093103642</v>
      </c>
      <c r="AO59" s="27">
        <f t="shared" si="14"/>
        <v>6.7916163422989273</v>
      </c>
      <c r="AP59" s="27">
        <f t="shared" si="15"/>
        <v>6.8662611609856414E-2</v>
      </c>
      <c r="AQ59" s="27">
        <f t="shared" si="16"/>
        <v>0.96377907091839843</v>
      </c>
      <c r="AR59" s="27">
        <f t="shared" si="17"/>
        <v>0.58528426751579843</v>
      </c>
      <c r="AS59" s="27">
        <f t="shared" si="18"/>
        <v>0.94696367681255023</v>
      </c>
      <c r="AT59" s="27">
        <f t="shared" si="10"/>
        <v>64.099999999999994</v>
      </c>
      <c r="AU59" s="27" t="b">
        <f t="shared" si="9"/>
        <v>0</v>
      </c>
      <c r="AV59" s="11"/>
    </row>
    <row r="60" spans="1:48">
      <c r="A60" s="25" t="s">
        <v>324</v>
      </c>
      <c r="B60" s="26" t="s">
        <v>1120</v>
      </c>
      <c r="C60" s="26" t="s">
        <v>1121</v>
      </c>
      <c r="D60" s="26" t="s">
        <v>290</v>
      </c>
      <c r="E60" s="25" t="s">
        <v>233</v>
      </c>
      <c r="F60" s="25">
        <v>356</v>
      </c>
      <c r="G60" s="25" t="s">
        <v>86</v>
      </c>
      <c r="H60" s="25" t="s">
        <v>87</v>
      </c>
      <c r="I60" s="50">
        <v>22.67861111111111</v>
      </c>
      <c r="J60" s="50">
        <v>88.38</v>
      </c>
      <c r="K60" s="25" t="s">
        <v>62</v>
      </c>
      <c r="L60" s="16" t="s">
        <v>73</v>
      </c>
      <c r="M60" s="25" t="s">
        <v>88</v>
      </c>
      <c r="N60" s="26" t="s">
        <v>61</v>
      </c>
      <c r="O60" s="25">
        <v>6496.8076170000004</v>
      </c>
      <c r="P60" s="25">
        <v>1417173173</v>
      </c>
      <c r="Q60" s="27">
        <v>0.14028357699999999</v>
      </c>
      <c r="R60" s="25" t="s">
        <v>64</v>
      </c>
      <c r="S60" s="28" t="s">
        <v>65</v>
      </c>
      <c r="T60" s="39">
        <v>0.18557214262876659</v>
      </c>
      <c r="U60" s="26" t="s">
        <v>66</v>
      </c>
      <c r="V60" s="26" t="s">
        <v>1160</v>
      </c>
      <c r="W60" s="26">
        <v>710816.61054254638</v>
      </c>
      <c r="X60" s="16" t="s">
        <v>67</v>
      </c>
      <c r="Y60" s="26">
        <v>71.081661054254639</v>
      </c>
      <c r="Z60" s="26" t="s">
        <v>67</v>
      </c>
      <c r="AA60" s="26">
        <v>6023623.8820999097</v>
      </c>
      <c r="AB60" s="29" t="s">
        <v>89</v>
      </c>
      <c r="AC60" s="29" t="s">
        <v>70</v>
      </c>
      <c r="AD60" s="39" t="s">
        <v>70</v>
      </c>
      <c r="AE60" s="29" t="s">
        <v>70</v>
      </c>
      <c r="AF60" s="29" t="s">
        <v>70</v>
      </c>
      <c r="AG60" s="30">
        <v>734008.50957216579</v>
      </c>
      <c r="AH60" s="25" t="s">
        <v>65</v>
      </c>
      <c r="AI60" s="25" t="s">
        <v>69</v>
      </c>
      <c r="AJ60" s="25" t="s">
        <v>65</v>
      </c>
      <c r="AK60" s="17" t="s">
        <v>70</v>
      </c>
      <c r="AL60" s="27">
        <f t="shared" si="11"/>
        <v>7.3927986144073227E-2</v>
      </c>
      <c r="AM60" s="27">
        <f t="shared" si="12"/>
        <v>5.8517581789344861</v>
      </c>
      <c r="AN60" s="27">
        <f t="shared" si="13"/>
        <v>1.8578247859952162</v>
      </c>
      <c r="AO60" s="27">
        <f t="shared" si="14"/>
        <v>6.7798579185866377</v>
      </c>
      <c r="AP60" s="27">
        <f t="shared" si="15"/>
        <v>1.9559632345912389E-2</v>
      </c>
      <c r="AQ60" s="27">
        <f t="shared" si="16"/>
        <v>0.79738245638334149</v>
      </c>
      <c r="AR60" s="27">
        <f t="shared" si="17"/>
        <v>0.45261490105835095</v>
      </c>
      <c r="AS60" s="27">
        <f t="shared" si="18"/>
        <v>0.94399509918425295</v>
      </c>
      <c r="AT60" s="27">
        <f t="shared" si="10"/>
        <v>55.3</v>
      </c>
      <c r="AU60" s="27" t="b">
        <f t="shared" si="9"/>
        <v>0</v>
      </c>
      <c r="AV60"/>
    </row>
    <row r="61" spans="1:48" s="30" customFormat="1">
      <c r="A61" s="25" t="s">
        <v>325</v>
      </c>
      <c r="B61" s="26" t="s">
        <v>1018</v>
      </c>
      <c r="C61" s="26" t="s">
        <v>1019</v>
      </c>
      <c r="D61" s="26" t="s">
        <v>290</v>
      </c>
      <c r="E61" s="25" t="s">
        <v>233</v>
      </c>
      <c r="F61" s="25">
        <v>356</v>
      </c>
      <c r="G61" s="25" t="s">
        <v>86</v>
      </c>
      <c r="H61" s="25" t="s">
        <v>87</v>
      </c>
      <c r="I61" s="50">
        <v>10.791944444444439</v>
      </c>
      <c r="J61" s="50">
        <v>79.124722222222218</v>
      </c>
      <c r="K61" s="25" t="s">
        <v>859</v>
      </c>
      <c r="L61" s="16" t="s">
        <v>73</v>
      </c>
      <c r="M61" s="25" t="s">
        <v>88</v>
      </c>
      <c r="N61" s="26" t="s">
        <v>61</v>
      </c>
      <c r="O61" s="25">
        <v>6496.8076170000004</v>
      </c>
      <c r="P61" s="25">
        <v>1417173173</v>
      </c>
      <c r="Q61" s="27">
        <v>0.14028357699999999</v>
      </c>
      <c r="R61" s="25" t="s">
        <v>64</v>
      </c>
      <c r="S61" s="28" t="s">
        <v>65</v>
      </c>
      <c r="T61" s="39">
        <v>6.35445256448891</v>
      </c>
      <c r="U61" s="26" t="s">
        <v>66</v>
      </c>
      <c r="V61" s="26" t="s">
        <v>1160</v>
      </c>
      <c r="W61" s="26">
        <v>76973.981871563577</v>
      </c>
      <c r="X61" s="16" t="s">
        <v>67</v>
      </c>
      <c r="Y61" s="52">
        <v>7.6973981871563577</v>
      </c>
      <c r="Z61" s="26" t="s">
        <v>67</v>
      </c>
      <c r="AA61" s="29">
        <v>571827.99963436997</v>
      </c>
      <c r="AB61" s="29" t="s">
        <v>68</v>
      </c>
      <c r="AC61" s="29" t="s">
        <v>1149</v>
      </c>
      <c r="AD61" s="39">
        <v>1</v>
      </c>
      <c r="AE61" s="26">
        <v>2</v>
      </c>
      <c r="AF61" s="29" t="s">
        <v>1151</v>
      </c>
      <c r="AG61" s="27">
        <v>79485.421234397916</v>
      </c>
      <c r="AH61" s="25" t="s">
        <v>1020</v>
      </c>
      <c r="AI61" s="25" t="s">
        <v>69</v>
      </c>
      <c r="AJ61" s="25" t="s">
        <v>1020</v>
      </c>
      <c r="AK61" s="17" t="s">
        <v>1021</v>
      </c>
      <c r="AL61" s="27">
        <f t="shared" si="11"/>
        <v>0.8665503511532906</v>
      </c>
      <c r="AM61" s="27">
        <f t="shared" si="12"/>
        <v>4.8863495952942246</v>
      </c>
      <c r="AN61" s="27">
        <f t="shared" si="13"/>
        <v>0.93938935354322728</v>
      </c>
      <c r="AO61" s="27">
        <f t="shared" si="14"/>
        <v>5.7572661763137223</v>
      </c>
      <c r="AP61" s="27">
        <f t="shared" si="15"/>
        <v>0.31990490255767295</v>
      </c>
      <c r="AQ61" s="27">
        <f t="shared" si="16"/>
        <v>0.49049304073230682</v>
      </c>
      <c r="AR61" s="27">
        <f t="shared" si="17"/>
        <v>0.21793396776039856</v>
      </c>
      <c r="AS61" s="27">
        <f t="shared" si="18"/>
        <v>0.68582758938273503</v>
      </c>
      <c r="AT61" s="27">
        <f t="shared" si="10"/>
        <v>42.9</v>
      </c>
      <c r="AU61" s="27" t="b">
        <f t="shared" si="9"/>
        <v>0</v>
      </c>
      <c r="AV61" s="11"/>
    </row>
    <row r="62" spans="1:48" s="30" customFormat="1">
      <c r="A62" s="25" t="s">
        <v>329</v>
      </c>
      <c r="B62" s="26" t="s">
        <v>919</v>
      </c>
      <c r="C62" s="26" t="s">
        <v>1022</v>
      </c>
      <c r="D62" s="26" t="s">
        <v>290</v>
      </c>
      <c r="E62" s="25" t="s">
        <v>233</v>
      </c>
      <c r="F62" s="25">
        <v>356</v>
      </c>
      <c r="G62" s="25" t="s">
        <v>86</v>
      </c>
      <c r="H62" s="25" t="s">
        <v>87</v>
      </c>
      <c r="I62" s="50">
        <v>18.652777777777779</v>
      </c>
      <c r="J62" s="50">
        <v>78.05</v>
      </c>
      <c r="K62" s="25" t="s">
        <v>859</v>
      </c>
      <c r="L62" s="16" t="s">
        <v>73</v>
      </c>
      <c r="M62" s="25" t="s">
        <v>88</v>
      </c>
      <c r="N62" s="26" t="s">
        <v>61</v>
      </c>
      <c r="O62" s="25">
        <v>6496.8076170000004</v>
      </c>
      <c r="P62" s="25">
        <v>1417173173</v>
      </c>
      <c r="Q62" s="27">
        <v>0.14028357699999999</v>
      </c>
      <c r="R62" s="25" t="s">
        <v>64</v>
      </c>
      <c r="S62" s="28" t="s">
        <v>65</v>
      </c>
      <c r="T62" s="39">
        <v>295.43709859838702</v>
      </c>
      <c r="U62" s="26" t="s">
        <v>66</v>
      </c>
      <c r="V62" s="26" t="s">
        <v>1160</v>
      </c>
      <c r="W62" s="26">
        <v>67686.596946877326</v>
      </c>
      <c r="X62" s="16" t="s">
        <v>67</v>
      </c>
      <c r="Y62" s="52">
        <v>6.7686596946877327</v>
      </c>
      <c r="Z62" s="26" t="s">
        <v>67</v>
      </c>
      <c r="AA62" s="29">
        <v>469165.04272183398</v>
      </c>
      <c r="AB62" s="29" t="s">
        <v>68</v>
      </c>
      <c r="AC62" s="29" t="s">
        <v>1149</v>
      </c>
      <c r="AD62" s="39">
        <v>0.5</v>
      </c>
      <c r="AE62" s="26">
        <v>10</v>
      </c>
      <c r="AF62" s="29" t="s">
        <v>1151</v>
      </c>
      <c r="AG62" s="27">
        <v>69895.015684943064</v>
      </c>
      <c r="AH62" s="25" t="s">
        <v>1023</v>
      </c>
      <c r="AI62" s="25" t="s">
        <v>69</v>
      </c>
      <c r="AJ62" s="25" t="s">
        <v>1023</v>
      </c>
      <c r="AK62" s="17" t="s">
        <v>1024</v>
      </c>
      <c r="AL62" s="27">
        <f t="shared" si="11"/>
        <v>2.4719325539238453</v>
      </c>
      <c r="AM62" s="27">
        <f t="shared" si="12"/>
        <v>4.8305090959965602</v>
      </c>
      <c r="AN62" s="27">
        <f t="shared" si="13"/>
        <v>0.89034609764116635</v>
      </c>
      <c r="AO62" s="27">
        <f t="shared" si="14"/>
        <v>5.6713265712350296</v>
      </c>
      <c r="AP62" s="27">
        <f t="shared" si="15"/>
        <v>0.92822605619893617</v>
      </c>
      <c r="AQ62" s="27">
        <f t="shared" si="16"/>
        <v>0.47274215422733668</v>
      </c>
      <c r="AR62" s="27">
        <f t="shared" si="17"/>
        <v>0.20540231157599104</v>
      </c>
      <c r="AS62" s="27">
        <f t="shared" si="18"/>
        <v>0.66413094064276246</v>
      </c>
      <c r="AT62" s="27">
        <f t="shared" si="10"/>
        <v>56.8</v>
      </c>
      <c r="AU62" s="27" t="b">
        <f t="shared" si="9"/>
        <v>0</v>
      </c>
      <c r="AV62" s="11"/>
    </row>
    <row r="63" spans="1:48" s="30" customFormat="1">
      <c r="A63" s="25" t="s">
        <v>331</v>
      </c>
      <c r="B63" s="26" t="s">
        <v>910</v>
      </c>
      <c r="C63" s="26" t="s">
        <v>303</v>
      </c>
      <c r="D63" s="26" t="s">
        <v>290</v>
      </c>
      <c r="E63" s="25" t="s">
        <v>233</v>
      </c>
      <c r="F63" s="25">
        <v>356</v>
      </c>
      <c r="G63" s="25" t="s">
        <v>86</v>
      </c>
      <c r="H63" s="25" t="s">
        <v>87</v>
      </c>
      <c r="I63" s="50">
        <v>25.566111111111109</v>
      </c>
      <c r="J63" s="50">
        <v>85.178055555555559</v>
      </c>
      <c r="K63" s="25" t="s">
        <v>62</v>
      </c>
      <c r="L63" s="16" t="s">
        <v>73</v>
      </c>
      <c r="M63" s="25" t="s">
        <v>88</v>
      </c>
      <c r="N63" s="26" t="s">
        <v>61</v>
      </c>
      <c r="O63" s="25">
        <v>6496.8076170000004</v>
      </c>
      <c r="P63" s="25">
        <v>1417173173</v>
      </c>
      <c r="Q63" s="27">
        <v>0.14028357699999999</v>
      </c>
      <c r="R63" s="25" t="s">
        <v>64</v>
      </c>
      <c r="S63" s="28" t="s">
        <v>65</v>
      </c>
      <c r="T63" s="39">
        <v>29.111133693663824</v>
      </c>
      <c r="U63" s="26" t="s">
        <v>66</v>
      </c>
      <c r="V63" s="26" t="s">
        <v>1160</v>
      </c>
      <c r="W63" s="26">
        <v>367516.13413017656</v>
      </c>
      <c r="X63" s="16" t="s">
        <v>67</v>
      </c>
      <c r="Y63" s="26">
        <v>36.751613413017658</v>
      </c>
      <c r="Z63" s="26" t="s">
        <v>67</v>
      </c>
      <c r="AA63" s="26">
        <v>2800502.7429458201</v>
      </c>
      <c r="AB63" s="29" t="s">
        <v>68</v>
      </c>
      <c r="AC63" s="29" t="s">
        <v>1149</v>
      </c>
      <c r="AD63" s="39">
        <v>1</v>
      </c>
      <c r="AE63" s="26">
        <v>2</v>
      </c>
      <c r="AF63" s="29" t="s">
        <v>1151</v>
      </c>
      <c r="AG63" s="25">
        <v>379507.12723316206</v>
      </c>
      <c r="AH63" s="25" t="s">
        <v>304</v>
      </c>
      <c r="AI63" s="25" t="s">
        <v>69</v>
      </c>
      <c r="AJ63" s="25" t="s">
        <v>304</v>
      </c>
      <c r="AK63" s="17" t="s">
        <v>305</v>
      </c>
      <c r="AL63" s="27">
        <f t="shared" si="11"/>
        <v>1.4787271071445611</v>
      </c>
      <c r="AM63" s="27">
        <f t="shared" si="12"/>
        <v>5.5652775912698047</v>
      </c>
      <c r="AN63" s="27">
        <f t="shared" si="13"/>
        <v>1.5769355170618256</v>
      </c>
      <c r="AO63" s="27">
        <f t="shared" si="14"/>
        <v>6.447236157450976</v>
      </c>
      <c r="AP63" s="27">
        <f t="shared" si="15"/>
        <v>0.55187462901551643</v>
      </c>
      <c r="AQ63" s="27">
        <f t="shared" si="16"/>
        <v>0.70631442401484146</v>
      </c>
      <c r="AR63" s="27">
        <f t="shared" si="17"/>
        <v>0.38084136809405778</v>
      </c>
      <c r="AS63" s="27">
        <f t="shared" si="18"/>
        <v>0.8600201087473841</v>
      </c>
      <c r="AT63" s="27">
        <f t="shared" si="10"/>
        <v>62.5</v>
      </c>
      <c r="AU63" s="27" t="b">
        <f t="shared" si="9"/>
        <v>0</v>
      </c>
      <c r="AV63" s="11"/>
    </row>
    <row r="64" spans="1:48">
      <c r="A64" s="25" t="s">
        <v>332</v>
      </c>
      <c r="B64" s="26" t="s">
        <v>1122</v>
      </c>
      <c r="C64" s="26" t="s">
        <v>295</v>
      </c>
      <c r="D64" s="26" t="s">
        <v>290</v>
      </c>
      <c r="E64" s="25" t="s">
        <v>233</v>
      </c>
      <c r="F64" s="25">
        <v>356</v>
      </c>
      <c r="G64" s="25" t="s">
        <v>86</v>
      </c>
      <c r="H64" s="25" t="s">
        <v>87</v>
      </c>
      <c r="I64" s="50">
        <v>22.69166666666667</v>
      </c>
      <c r="J64" s="50">
        <v>88.385833333333338</v>
      </c>
      <c r="K64" s="25" t="s">
        <v>62</v>
      </c>
      <c r="L64" s="16" t="s">
        <v>73</v>
      </c>
      <c r="M64" s="25" t="s">
        <v>88</v>
      </c>
      <c r="N64" s="26" t="s">
        <v>61</v>
      </c>
      <c r="O64" s="25">
        <v>6496.8076170000004</v>
      </c>
      <c r="P64" s="25">
        <v>1417173173</v>
      </c>
      <c r="Q64" s="27">
        <v>0.14028357699999999</v>
      </c>
      <c r="R64" s="25" t="s">
        <v>64</v>
      </c>
      <c r="S64" s="28" t="s">
        <v>65</v>
      </c>
      <c r="T64" s="39">
        <v>0.71382506274590274</v>
      </c>
      <c r="U64" s="26" t="s">
        <v>66</v>
      </c>
      <c r="V64" s="26" t="s">
        <v>1159</v>
      </c>
      <c r="W64" s="26">
        <v>611096.36926166411</v>
      </c>
      <c r="X64" s="16" t="s">
        <v>67</v>
      </c>
      <c r="Y64" s="26">
        <v>61.109636926166417</v>
      </c>
      <c r="Z64" s="26" t="s">
        <v>67</v>
      </c>
      <c r="AA64" s="26">
        <v>5372549.0469253296</v>
      </c>
      <c r="AB64" s="29" t="s">
        <v>89</v>
      </c>
      <c r="AC64" s="29" t="s">
        <v>70</v>
      </c>
      <c r="AD64" s="39" t="s">
        <v>70</v>
      </c>
      <c r="AE64" s="29" t="s">
        <v>70</v>
      </c>
      <c r="AF64" s="29" t="s">
        <v>70</v>
      </c>
      <c r="AG64" s="30">
        <v>631034.68398740795</v>
      </c>
      <c r="AH64" s="25" t="s">
        <v>65</v>
      </c>
      <c r="AI64" s="25" t="s">
        <v>69</v>
      </c>
      <c r="AJ64" s="25" t="s">
        <v>65</v>
      </c>
      <c r="AK64" s="17" t="s">
        <v>70</v>
      </c>
      <c r="AL64" s="27">
        <f t="shared" si="11"/>
        <v>0.23396648960496963</v>
      </c>
      <c r="AM64" s="27">
        <f t="shared" si="12"/>
        <v>5.786110414111576</v>
      </c>
      <c r="AN64" s="27">
        <f t="shared" si="13"/>
        <v>1.7931589905010117</v>
      </c>
      <c r="AO64" s="27">
        <f t="shared" si="14"/>
        <v>6.73018046976651</v>
      </c>
      <c r="AP64" s="27">
        <f t="shared" si="15"/>
        <v>8.0202391985541965E-2</v>
      </c>
      <c r="AQ64" s="27">
        <f t="shared" si="16"/>
        <v>0.77651398211586331</v>
      </c>
      <c r="AR64" s="27">
        <f t="shared" si="17"/>
        <v>0.43609133423719854</v>
      </c>
      <c r="AS64" s="27">
        <f t="shared" si="18"/>
        <v>0.93145333620592263</v>
      </c>
      <c r="AT64" s="27">
        <f t="shared" si="10"/>
        <v>55.6</v>
      </c>
      <c r="AU64" s="27" t="b">
        <f t="shared" si="9"/>
        <v>0</v>
      </c>
      <c r="AV64"/>
    </row>
    <row r="65" spans="1:48">
      <c r="A65" s="25" t="s">
        <v>333</v>
      </c>
      <c r="B65" s="26" t="s">
        <v>920</v>
      </c>
      <c r="C65" s="26" t="s">
        <v>1025</v>
      </c>
      <c r="D65" s="26" t="s">
        <v>290</v>
      </c>
      <c r="E65" s="25" t="s">
        <v>233</v>
      </c>
      <c r="F65" s="25">
        <v>356</v>
      </c>
      <c r="G65" s="25" t="s">
        <v>86</v>
      </c>
      <c r="H65" s="25" t="s">
        <v>87</v>
      </c>
      <c r="I65" s="50">
        <v>20.414999999999999</v>
      </c>
      <c r="J65" s="50">
        <v>85.776666666666671</v>
      </c>
      <c r="K65" s="25" t="s">
        <v>859</v>
      </c>
      <c r="L65" s="16" t="s">
        <v>73</v>
      </c>
      <c r="M65" s="25" t="s">
        <v>88</v>
      </c>
      <c r="N65" s="26" t="s">
        <v>61</v>
      </c>
      <c r="O65" s="25">
        <v>6496.8076170000004</v>
      </c>
      <c r="P65" s="25">
        <v>1417173173</v>
      </c>
      <c r="Q65" s="27">
        <v>0.14028357699999999</v>
      </c>
      <c r="R65" s="25" t="s">
        <v>64</v>
      </c>
      <c r="S65" s="28" t="s">
        <v>65</v>
      </c>
      <c r="T65" s="39">
        <v>7.1086064315299966</v>
      </c>
      <c r="U65" s="26" t="s">
        <v>66</v>
      </c>
      <c r="V65" s="26" t="s">
        <v>1160</v>
      </c>
      <c r="W65" s="26">
        <v>59967.268873089473</v>
      </c>
      <c r="X65" s="16" t="s">
        <v>67</v>
      </c>
      <c r="Y65" s="52">
        <v>5.9967268873089479</v>
      </c>
      <c r="Z65" s="26" t="s">
        <v>67</v>
      </c>
      <c r="AA65" s="29">
        <v>320658.67747647298</v>
      </c>
      <c r="AB65" s="29" t="s">
        <v>89</v>
      </c>
      <c r="AC65" s="29" t="s">
        <v>70</v>
      </c>
      <c r="AD65" s="39" t="s">
        <v>70</v>
      </c>
      <c r="AE65" s="29" t="s">
        <v>70</v>
      </c>
      <c r="AF65" s="29" t="s">
        <v>70</v>
      </c>
      <c r="AG65" s="53">
        <v>61923.828165823506</v>
      </c>
      <c r="AH65" s="25" t="s">
        <v>1026</v>
      </c>
      <c r="AI65" s="25" t="s">
        <v>69</v>
      </c>
      <c r="AJ65" s="25" t="s">
        <v>1026</v>
      </c>
      <c r="AK65" s="17" t="s">
        <v>1027</v>
      </c>
      <c r="AL65" s="27">
        <f t="shared" si="11"/>
        <v>0.90894622152298743</v>
      </c>
      <c r="AM65" s="27">
        <f t="shared" si="12"/>
        <v>4.777921512074129</v>
      </c>
      <c r="AN65" s="27">
        <f t="shared" si="13"/>
        <v>0.84489492183988257</v>
      </c>
      <c r="AO65" s="27">
        <f t="shared" si="14"/>
        <v>5.5060443514143653</v>
      </c>
      <c r="AP65" s="27">
        <f t="shared" si="15"/>
        <v>0.33596980269697357</v>
      </c>
      <c r="AQ65" s="27">
        <f t="shared" si="16"/>
        <v>0.45602532243825</v>
      </c>
      <c r="AR65" s="27">
        <f t="shared" si="17"/>
        <v>0.19378851273979231</v>
      </c>
      <c r="AS65" s="27">
        <f t="shared" si="18"/>
        <v>0.6224031451388361</v>
      </c>
      <c r="AT65" s="27">
        <f t="shared" si="10"/>
        <v>40.200000000000003</v>
      </c>
      <c r="AU65" s="27" t="b">
        <f t="shared" si="9"/>
        <v>0</v>
      </c>
      <c r="AV65"/>
    </row>
    <row r="66" spans="1:48" s="30" customFormat="1">
      <c r="A66" s="25" t="s">
        <v>334</v>
      </c>
      <c r="B66" s="26" t="s">
        <v>921</v>
      </c>
      <c r="C66" s="26" t="s">
        <v>1028</v>
      </c>
      <c r="D66" s="26" t="s">
        <v>290</v>
      </c>
      <c r="E66" s="25" t="s">
        <v>233</v>
      </c>
      <c r="F66" s="25">
        <v>356</v>
      </c>
      <c r="G66" s="25" t="s">
        <v>86</v>
      </c>
      <c r="H66" s="25" t="s">
        <v>87</v>
      </c>
      <c r="I66" s="50">
        <v>20.39083333333333</v>
      </c>
      <c r="J66" s="50">
        <v>85.786666666666662</v>
      </c>
      <c r="K66" s="25" t="s">
        <v>859</v>
      </c>
      <c r="L66" s="16" t="s">
        <v>73</v>
      </c>
      <c r="M66" s="25" t="s">
        <v>88</v>
      </c>
      <c r="N66" s="26" t="s">
        <v>61</v>
      </c>
      <c r="O66" s="25">
        <v>6496.8076170000004</v>
      </c>
      <c r="P66" s="25">
        <v>1417173173</v>
      </c>
      <c r="Q66" s="27">
        <v>0.14028357699999999</v>
      </c>
      <c r="R66" s="25" t="s">
        <v>64</v>
      </c>
      <c r="S66" s="28" t="s">
        <v>65</v>
      </c>
      <c r="T66" s="39">
        <v>26.11968647549967</v>
      </c>
      <c r="U66" s="26" t="s">
        <v>66</v>
      </c>
      <c r="V66" s="26" t="s">
        <v>1160</v>
      </c>
      <c r="W66" s="26">
        <v>40070.064437746136</v>
      </c>
      <c r="X66" s="16" t="s">
        <v>67</v>
      </c>
      <c r="Y66" s="52">
        <v>4.007006443774614</v>
      </c>
      <c r="Z66" s="26" t="s">
        <v>67</v>
      </c>
      <c r="AA66" s="29">
        <v>325034.94836096198</v>
      </c>
      <c r="AB66" s="29" t="s">
        <v>68</v>
      </c>
      <c r="AC66" s="29" t="s">
        <v>1149</v>
      </c>
      <c r="AD66" s="39">
        <v>0.88888888888888795</v>
      </c>
      <c r="AE66" s="26">
        <v>9</v>
      </c>
      <c r="AF66" s="29" t="s">
        <v>1151</v>
      </c>
      <c r="AG66" s="27">
        <v>41377.435248680384</v>
      </c>
      <c r="AH66" s="25" t="s">
        <v>1029</v>
      </c>
      <c r="AI66" s="25" t="s">
        <v>69</v>
      </c>
      <c r="AJ66" s="25" t="s">
        <v>1029</v>
      </c>
      <c r="AK66" s="17" t="s">
        <v>1030</v>
      </c>
      <c r="AL66" s="27">
        <f t="shared" si="11"/>
        <v>1.4332846644447492</v>
      </c>
      <c r="AM66" s="27">
        <f t="shared" si="12"/>
        <v>4.6028308790760608</v>
      </c>
      <c r="AN66" s="27">
        <f t="shared" si="13"/>
        <v>0.69957815031521764</v>
      </c>
      <c r="AO66" s="27">
        <f t="shared" si="14"/>
        <v>5.5119313957832707</v>
      </c>
      <c r="AP66" s="27">
        <f t="shared" si="15"/>
        <v>0.53465530322523447</v>
      </c>
      <c r="AQ66" s="27">
        <f t="shared" si="16"/>
        <v>0.40036654442725034</v>
      </c>
      <c r="AR66" s="27">
        <f t="shared" si="17"/>
        <v>0.15665680553397693</v>
      </c>
      <c r="AS66" s="27">
        <f t="shared" si="18"/>
        <v>0.62388941137978315</v>
      </c>
      <c r="AT66" s="27">
        <f t="shared" si="10"/>
        <v>42.9</v>
      </c>
      <c r="AU66" s="27" t="b">
        <f t="shared" si="9"/>
        <v>0</v>
      </c>
      <c r="AV66" s="11"/>
    </row>
    <row r="67" spans="1:48">
      <c r="A67" s="25" t="s">
        <v>339</v>
      </c>
      <c r="B67" s="26" t="s">
        <v>922</v>
      </c>
      <c r="C67" s="26" t="s">
        <v>1031</v>
      </c>
      <c r="D67" s="26" t="s">
        <v>290</v>
      </c>
      <c r="E67" s="25" t="s">
        <v>233</v>
      </c>
      <c r="F67" s="25">
        <v>356</v>
      </c>
      <c r="G67" s="25" t="s">
        <v>86</v>
      </c>
      <c r="H67" s="25" t="s">
        <v>87</v>
      </c>
      <c r="I67" s="50">
        <v>17.838888888888889</v>
      </c>
      <c r="J67" s="50">
        <v>83.370833333333323</v>
      </c>
      <c r="K67" s="25" t="s">
        <v>859</v>
      </c>
      <c r="L67" s="16" t="s">
        <v>73</v>
      </c>
      <c r="M67" s="25" t="s">
        <v>88</v>
      </c>
      <c r="N67" s="26" t="s">
        <v>61</v>
      </c>
      <c r="O67" s="25">
        <v>6496.8076170000004</v>
      </c>
      <c r="P67" s="25">
        <v>1417173173</v>
      </c>
      <c r="Q67" s="27">
        <v>0.14028357699999999</v>
      </c>
      <c r="R67" s="25" t="s">
        <v>64</v>
      </c>
      <c r="S67" s="28" t="s">
        <v>65</v>
      </c>
      <c r="T67" s="39">
        <v>47.618146148890069</v>
      </c>
      <c r="U67" s="26" t="s">
        <v>66</v>
      </c>
      <c r="V67" s="26" t="s">
        <v>1160</v>
      </c>
      <c r="W67" s="26">
        <v>22219.482282769448</v>
      </c>
      <c r="X67" s="16" t="s">
        <v>67</v>
      </c>
      <c r="Y67" s="52">
        <v>2.2219482282769447</v>
      </c>
      <c r="Z67" s="26" t="s">
        <v>67</v>
      </c>
      <c r="AA67" s="29">
        <v>152955.28330575599</v>
      </c>
      <c r="AB67" s="29" t="s">
        <v>68</v>
      </c>
      <c r="AC67" s="29" t="s">
        <v>1149</v>
      </c>
      <c r="AD67" s="39">
        <v>0.88888888888888795</v>
      </c>
      <c r="AE67" s="26">
        <v>9</v>
      </c>
      <c r="AF67" s="29" t="s">
        <v>1151</v>
      </c>
      <c r="AG67" s="61">
        <v>22944.440003156833</v>
      </c>
      <c r="AH67" s="25" t="s">
        <v>1032</v>
      </c>
      <c r="AI67" s="25" t="s">
        <v>69</v>
      </c>
      <c r="AJ67" s="25" t="s">
        <v>1032</v>
      </c>
      <c r="AK67" s="17" t="s">
        <v>1033</v>
      </c>
      <c r="AL67" s="27">
        <f t="shared" si="11"/>
        <v>1.686798394806432</v>
      </c>
      <c r="AM67" s="27">
        <f t="shared" si="12"/>
        <v>4.3467534808187303</v>
      </c>
      <c r="AN67" s="27">
        <f t="shared" si="13"/>
        <v>0.50811855769887782</v>
      </c>
      <c r="AO67" s="27">
        <f t="shared" si="14"/>
        <v>5.1845673221116018</v>
      </c>
      <c r="AP67" s="27">
        <f t="shared" si="15"/>
        <v>0.63071826234573014</v>
      </c>
      <c r="AQ67" s="27">
        <f t="shared" si="16"/>
        <v>0.3189632459230044</v>
      </c>
      <c r="AR67" s="27">
        <f t="shared" si="17"/>
        <v>0.10773456854656932</v>
      </c>
      <c r="AS67" s="27">
        <f t="shared" si="18"/>
        <v>0.54124179727873001</v>
      </c>
      <c r="AT67" s="27">
        <f t="shared" si="10"/>
        <v>40</v>
      </c>
      <c r="AU67" s="27" t="b">
        <f t="shared" si="9"/>
        <v>0</v>
      </c>
      <c r="AV67"/>
    </row>
    <row r="68" spans="1:48" s="30" customFormat="1">
      <c r="A68" s="25" t="s">
        <v>216</v>
      </c>
      <c r="B68" s="26" t="s">
        <v>890</v>
      </c>
      <c r="C68" s="26" t="s">
        <v>313</v>
      </c>
      <c r="D68" s="26" t="s">
        <v>219</v>
      </c>
      <c r="E68" s="25" t="s">
        <v>314</v>
      </c>
      <c r="F68" s="25">
        <v>360</v>
      </c>
      <c r="G68" s="25" t="s">
        <v>86</v>
      </c>
      <c r="H68" s="25" t="s">
        <v>315</v>
      </c>
      <c r="I68" s="50">
        <v>-6.3478858679999997</v>
      </c>
      <c r="J68" s="50">
        <v>106.99700832400001</v>
      </c>
      <c r="K68" s="25" t="s">
        <v>62</v>
      </c>
      <c r="L68" s="16" t="s">
        <v>101</v>
      </c>
      <c r="M68" s="25" t="s">
        <v>88</v>
      </c>
      <c r="N68" s="26" t="s">
        <v>61</v>
      </c>
      <c r="O68" s="25">
        <v>10531.19824</v>
      </c>
      <c r="P68" s="25">
        <v>275501339</v>
      </c>
      <c r="Q68" s="27">
        <v>0.24969797299999999</v>
      </c>
      <c r="R68" s="25" t="s">
        <v>64</v>
      </c>
      <c r="S68" s="28">
        <v>1989</v>
      </c>
      <c r="T68" s="39">
        <v>48.81531138893137</v>
      </c>
      <c r="U68" s="26" t="s">
        <v>835</v>
      </c>
      <c r="V68" s="26" t="s">
        <v>1159</v>
      </c>
      <c r="W68" s="26">
        <v>2737500</v>
      </c>
      <c r="X68" s="16" t="s">
        <v>316</v>
      </c>
      <c r="Y68" s="26">
        <v>6000</v>
      </c>
      <c r="Z68" s="26" t="s">
        <v>101</v>
      </c>
      <c r="AA68" s="26">
        <v>2876604.79833603</v>
      </c>
      <c r="AB68" s="29" t="s">
        <v>68</v>
      </c>
      <c r="AC68" s="29" t="s">
        <v>1149</v>
      </c>
      <c r="AD68" s="39">
        <v>1</v>
      </c>
      <c r="AE68" s="26">
        <v>1</v>
      </c>
      <c r="AF68" s="29" t="s">
        <v>1151</v>
      </c>
      <c r="AG68" s="25">
        <v>2656559.1576423496</v>
      </c>
      <c r="AH68" s="25" t="s">
        <v>317</v>
      </c>
      <c r="AI68" s="25" t="s">
        <v>69</v>
      </c>
      <c r="AJ68" s="25" t="s">
        <v>318</v>
      </c>
      <c r="AK68" s="17" t="s">
        <v>319</v>
      </c>
      <c r="AL68" s="27">
        <f t="shared" ref="AL68:AL99" si="19">LOG10(T68 + 1)</f>
        <v>1.6973628493799915</v>
      </c>
      <c r="AM68" s="27">
        <f t="shared" ref="AM68:AM99" si="20">LOG10(W68 + 1)</f>
        <v>6.4373542864945321</v>
      </c>
      <c r="AN68" s="27">
        <f t="shared" ref="AN68:AN99" si="21">LOG10(Y68+ 1)</f>
        <v>3.7782236267660965</v>
      </c>
      <c r="AO68" s="27">
        <f t="shared" ref="AO68:AO99" si="22">LOG10(AA68+ 1)</f>
        <v>6.4588803515193733</v>
      </c>
      <c r="AP68" s="27">
        <f t="shared" ref="AP68:AP99" si="23">IF(ISBLANK(T68),$AP$2, MIN(1, MAX(0, (AL68 - $AL$1) / ($AL$2 - $AL$1))))</f>
        <v>0.63472140949828204</v>
      </c>
      <c r="AQ68" s="27">
        <f t="shared" ref="AQ68:AQ99" si="24">IF(ISBLANK(W68), $AQ$2, MIN(1, MAX(0, (AM68 - $AM$1) / ($AM$2 - $AM$1))))</f>
        <v>0.98353498320155053</v>
      </c>
      <c r="AR68" s="27">
        <f t="shared" ref="AR68:AR99" si="25">IF(ISBLANK(Y68), $AR$2, MIN(1, MAX(0, (AN68 - $AN$1) / ($AN$2 - $AN$1))))</f>
        <v>0.94332004627820865</v>
      </c>
      <c r="AS68" s="27">
        <f t="shared" ref="AS68:AS99" si="26">IF(ISBLANK(AA68), $AS$2, MIN(1, MAX(0, (AO68 - $AO$1) / ($AO$2 - $AO$1))))</f>
        <v>0.8629598475131226</v>
      </c>
      <c r="AT68" s="27">
        <f t="shared" si="10"/>
        <v>85.6</v>
      </c>
      <c r="AU68" s="27" t="b">
        <f t="shared" ref="AU68:AU131" si="27">OR(ISBLANK(T68), ISBLANK(W68), ISBLANK(Y68), ISBLANK(AA68))</f>
        <v>0</v>
      </c>
      <c r="AV68" s="11"/>
    </row>
    <row r="69" spans="1:48" s="30" customFormat="1">
      <c r="A69" s="25" t="s">
        <v>225</v>
      </c>
      <c r="B69" s="26" t="s">
        <v>909</v>
      </c>
      <c r="C69" s="26" t="s">
        <v>960</v>
      </c>
      <c r="D69" s="26" t="s">
        <v>219</v>
      </c>
      <c r="E69" s="25" t="s">
        <v>314</v>
      </c>
      <c r="F69" s="25">
        <v>360</v>
      </c>
      <c r="G69" s="25" t="s">
        <v>86</v>
      </c>
      <c r="H69" s="25" t="s">
        <v>315</v>
      </c>
      <c r="I69" s="50">
        <v>-8.6419444444444444</v>
      </c>
      <c r="J69" s="50">
        <v>116.6063888888889</v>
      </c>
      <c r="K69" s="25" t="s">
        <v>859</v>
      </c>
      <c r="L69" s="16" t="s">
        <v>961</v>
      </c>
      <c r="M69" s="25" t="s">
        <v>88</v>
      </c>
      <c r="N69" s="26" t="s">
        <v>61</v>
      </c>
      <c r="O69" s="25">
        <v>10531.19824</v>
      </c>
      <c r="P69" s="25">
        <v>275501339</v>
      </c>
      <c r="Q69" s="27">
        <v>0.24969797299999999</v>
      </c>
      <c r="R69" s="25" t="s">
        <v>64</v>
      </c>
      <c r="S69" s="28" t="s">
        <v>65</v>
      </c>
      <c r="T69" s="39">
        <v>1.864436835191795</v>
      </c>
      <c r="U69" s="26" t="s">
        <v>66</v>
      </c>
      <c r="V69" s="26" t="s">
        <v>1160</v>
      </c>
      <c r="W69" s="26">
        <v>105871.60624668468</v>
      </c>
      <c r="X69" s="26" t="s">
        <v>860</v>
      </c>
      <c r="Y69" s="26">
        <v>10.587160624668469</v>
      </c>
      <c r="Z69" s="26" t="s">
        <v>67</v>
      </c>
      <c r="AA69" s="26">
        <v>404144.55745133501</v>
      </c>
      <c r="AB69" s="29" t="s">
        <v>89</v>
      </c>
      <c r="AC69" s="29" t="s">
        <v>70</v>
      </c>
      <c r="AD69" s="39" t="s">
        <v>70</v>
      </c>
      <c r="AE69" s="29" t="s">
        <v>70</v>
      </c>
      <c r="AF69" s="29" t="s">
        <v>70</v>
      </c>
      <c r="AG69" s="25">
        <v>102741.25483431421</v>
      </c>
      <c r="AH69" s="25" t="s">
        <v>65</v>
      </c>
      <c r="AI69" s="25" t="s">
        <v>69</v>
      </c>
      <c r="AJ69" s="25" t="s">
        <v>65</v>
      </c>
      <c r="AK69" s="17" t="s">
        <v>70</v>
      </c>
      <c r="AL69" s="27">
        <f t="shared" si="19"/>
        <v>0.45703924989507111</v>
      </c>
      <c r="AM69" s="27">
        <f t="shared" si="20"/>
        <v>5.024783604159464</v>
      </c>
      <c r="AN69" s="27">
        <f t="shared" si="21"/>
        <v>1.0639770273258276</v>
      </c>
      <c r="AO69" s="27">
        <f t="shared" si="22"/>
        <v>5.6065378092016855</v>
      </c>
      <c r="AP69" s="27">
        <f t="shared" si="23"/>
        <v>0.16473047423998943</v>
      </c>
      <c r="AQ69" s="27">
        <f t="shared" si="24"/>
        <v>0.5344992084905108</v>
      </c>
      <c r="AR69" s="27">
        <f t="shared" si="25"/>
        <v>0.24976892373837353</v>
      </c>
      <c r="AS69" s="27">
        <f t="shared" si="26"/>
        <v>0.64777411644223271</v>
      </c>
      <c r="AT69" s="27">
        <f t="shared" ref="AT69:AT132" si="28">ROUND(100 * (AP69 + AQ69 + AR69 + AS69) / 4, 1)</f>
        <v>39.9</v>
      </c>
      <c r="AU69" s="27" t="b">
        <f t="shared" si="27"/>
        <v>0</v>
      </c>
      <c r="AV69" s="11"/>
    </row>
    <row r="70" spans="1:48" s="30" customFormat="1">
      <c r="A70" s="25" t="s">
        <v>231</v>
      </c>
      <c r="B70" s="26" t="s">
        <v>903</v>
      </c>
      <c r="C70" s="26" t="s">
        <v>343</v>
      </c>
      <c r="D70" s="26" t="s">
        <v>219</v>
      </c>
      <c r="E70" s="25" t="s">
        <v>314</v>
      </c>
      <c r="F70" s="25">
        <v>360</v>
      </c>
      <c r="G70" s="25" t="s">
        <v>86</v>
      </c>
      <c r="H70" s="25" t="s">
        <v>315</v>
      </c>
      <c r="I70" s="50">
        <v>-6.421388888888889</v>
      </c>
      <c r="J70" s="50">
        <v>106.78749999999999</v>
      </c>
      <c r="K70" s="25" t="s">
        <v>62</v>
      </c>
      <c r="L70" s="16" t="s">
        <v>73</v>
      </c>
      <c r="M70" s="25" t="s">
        <v>88</v>
      </c>
      <c r="N70" s="26" t="s">
        <v>61</v>
      </c>
      <c r="O70" s="25">
        <v>10531.19824</v>
      </c>
      <c r="P70" s="25">
        <v>275501339</v>
      </c>
      <c r="Q70" s="27">
        <v>0.24969797299999999</v>
      </c>
      <c r="R70" s="25" t="s">
        <v>64</v>
      </c>
      <c r="S70" s="28" t="s">
        <v>65</v>
      </c>
      <c r="T70" s="39">
        <v>9.0285969801330932</v>
      </c>
      <c r="U70" s="26" t="s">
        <v>66</v>
      </c>
      <c r="V70" s="26" t="s">
        <v>1159</v>
      </c>
      <c r="W70" s="26">
        <v>292000</v>
      </c>
      <c r="X70" s="16" t="s">
        <v>67</v>
      </c>
      <c r="Y70" s="26">
        <v>29.200000000000003</v>
      </c>
      <c r="Z70" s="26" t="s">
        <v>67</v>
      </c>
      <c r="AA70" s="26">
        <v>3560649.3151500798</v>
      </c>
      <c r="AB70" s="29" t="s">
        <v>89</v>
      </c>
      <c r="AC70" s="29" t="s">
        <v>70</v>
      </c>
      <c r="AD70" s="39" t="s">
        <v>70</v>
      </c>
      <c r="AE70" s="29" t="s">
        <v>70</v>
      </c>
      <c r="AF70" s="29" t="s">
        <v>70</v>
      </c>
      <c r="AG70" s="25">
        <v>283366.31014851714</v>
      </c>
      <c r="AH70" s="25" t="s">
        <v>345</v>
      </c>
      <c r="AI70" s="25" t="s">
        <v>69</v>
      </c>
      <c r="AJ70" s="25" t="s">
        <v>345</v>
      </c>
      <c r="AK70" s="17" t="s">
        <v>346</v>
      </c>
      <c r="AL70" s="27">
        <f t="shared" si="19"/>
        <v>1.0012401786428518</v>
      </c>
      <c r="AM70" s="27">
        <f t="shared" si="20"/>
        <v>5.465384338755741</v>
      </c>
      <c r="AN70" s="27">
        <f t="shared" si="21"/>
        <v>1.4800069429571507</v>
      </c>
      <c r="AO70" s="27">
        <f t="shared" si="22"/>
        <v>6.5515293245145427</v>
      </c>
      <c r="AP70" s="27">
        <f t="shared" si="23"/>
        <v>0.37094238827340498</v>
      </c>
      <c r="AQ70" s="27">
        <f t="shared" si="24"/>
        <v>0.67455980487117573</v>
      </c>
      <c r="AR70" s="27">
        <f t="shared" si="25"/>
        <v>0.35607393488060329</v>
      </c>
      <c r="AS70" s="27">
        <f t="shared" si="26"/>
        <v>0.88635036951231883</v>
      </c>
      <c r="AT70" s="27">
        <f t="shared" si="28"/>
        <v>57.2</v>
      </c>
      <c r="AU70" s="27" t="b">
        <f t="shared" si="27"/>
        <v>0</v>
      </c>
      <c r="AV70" s="11"/>
    </row>
    <row r="71" spans="1:48" s="30" customFormat="1">
      <c r="A71" s="25" t="s">
        <v>236</v>
      </c>
      <c r="B71" s="26" t="s">
        <v>891</v>
      </c>
      <c r="C71" s="26" t="s">
        <v>335</v>
      </c>
      <c r="D71" s="26" t="s">
        <v>219</v>
      </c>
      <c r="E71" s="25" t="s">
        <v>314</v>
      </c>
      <c r="F71" s="25">
        <v>360</v>
      </c>
      <c r="G71" s="25" t="s">
        <v>86</v>
      </c>
      <c r="H71" s="25" t="s">
        <v>315</v>
      </c>
      <c r="I71" s="50">
        <v>-8.7217984699999995</v>
      </c>
      <c r="J71" s="50">
        <v>115.2202154</v>
      </c>
      <c r="K71" s="25" t="s">
        <v>62</v>
      </c>
      <c r="L71" s="16" t="s">
        <v>101</v>
      </c>
      <c r="M71" s="25" t="s">
        <v>88</v>
      </c>
      <c r="N71" s="26" t="s">
        <v>61</v>
      </c>
      <c r="O71" s="25">
        <v>10531.19824</v>
      </c>
      <c r="P71" s="25">
        <v>275501339</v>
      </c>
      <c r="Q71" s="27">
        <v>0.24969797299999999</v>
      </c>
      <c r="R71" s="25" t="s">
        <v>64</v>
      </c>
      <c r="S71" s="28">
        <v>1984</v>
      </c>
      <c r="T71" s="39">
        <v>17.040205677526792</v>
      </c>
      <c r="U71" s="26" t="s">
        <v>66</v>
      </c>
      <c r="V71" s="26" t="s">
        <v>1159</v>
      </c>
      <c r="W71" s="26">
        <v>519395</v>
      </c>
      <c r="X71" s="16" t="s">
        <v>101</v>
      </c>
      <c r="Y71" s="26">
        <v>51.300495746650057</v>
      </c>
      <c r="Z71" s="26" t="s">
        <v>67</v>
      </c>
      <c r="AA71" s="26">
        <v>1079527.08600805</v>
      </c>
      <c r="AB71" s="29" t="s">
        <v>68</v>
      </c>
      <c r="AC71" s="29" t="s">
        <v>1149</v>
      </c>
      <c r="AD71" s="39">
        <v>0.85714285714285698</v>
      </c>
      <c r="AE71" s="26">
        <v>7</v>
      </c>
      <c r="AF71" s="29" t="s">
        <v>1151</v>
      </c>
      <c r="AG71" s="25">
        <v>504037.82417667453</v>
      </c>
      <c r="AH71" s="25" t="s">
        <v>336</v>
      </c>
      <c r="AI71" s="25" t="s">
        <v>69</v>
      </c>
      <c r="AJ71" s="25" t="s">
        <v>337</v>
      </c>
      <c r="AK71" s="17" t="s">
        <v>338</v>
      </c>
      <c r="AL71" s="27">
        <f t="shared" si="19"/>
        <v>1.2562414846530259</v>
      </c>
      <c r="AM71" s="27">
        <f t="shared" si="20"/>
        <v>5.7154986006944837</v>
      </c>
      <c r="AN71" s="27">
        <f t="shared" si="21"/>
        <v>1.7185058054832234</v>
      </c>
      <c r="AO71" s="27">
        <f t="shared" si="22"/>
        <v>6.0332339458269342</v>
      </c>
      <c r="AP71" s="27">
        <f t="shared" si="23"/>
        <v>0.46756902857403149</v>
      </c>
      <c r="AQ71" s="27">
        <f t="shared" si="24"/>
        <v>0.75406750864872218</v>
      </c>
      <c r="AR71" s="27">
        <f t="shared" si="25"/>
        <v>0.41701576450785327</v>
      </c>
      <c r="AS71" s="27">
        <f t="shared" si="26"/>
        <v>0.75549949156565976</v>
      </c>
      <c r="AT71" s="27">
        <f t="shared" si="28"/>
        <v>59.9</v>
      </c>
      <c r="AU71" s="27" t="b">
        <f t="shared" si="27"/>
        <v>0</v>
      </c>
      <c r="AV71" s="11"/>
    </row>
    <row r="72" spans="1:48" s="30" customFormat="1">
      <c r="A72" s="25" t="s">
        <v>241</v>
      </c>
      <c r="B72" s="26" t="s">
        <v>899</v>
      </c>
      <c r="C72" s="26" t="s">
        <v>962</v>
      </c>
      <c r="D72" s="26" t="s">
        <v>219</v>
      </c>
      <c r="E72" s="25" t="s">
        <v>314</v>
      </c>
      <c r="F72" s="25">
        <v>360</v>
      </c>
      <c r="G72" s="25" t="s">
        <v>86</v>
      </c>
      <c r="H72" s="25" t="s">
        <v>315</v>
      </c>
      <c r="I72" s="50">
        <v>-7.9827777777777778</v>
      </c>
      <c r="J72" s="50">
        <v>112.5772222222222</v>
      </c>
      <c r="K72" s="25" t="s">
        <v>859</v>
      </c>
      <c r="L72" s="16" t="s">
        <v>963</v>
      </c>
      <c r="M72" s="25" t="s">
        <v>88</v>
      </c>
      <c r="N72" s="26" t="s">
        <v>61</v>
      </c>
      <c r="O72" s="25">
        <v>10531.19824</v>
      </c>
      <c r="P72" s="25">
        <v>275501339</v>
      </c>
      <c r="Q72" s="27">
        <v>0.24969797299999999</v>
      </c>
      <c r="R72" s="25" t="s">
        <v>64</v>
      </c>
      <c r="S72" s="28" t="s">
        <v>65</v>
      </c>
      <c r="T72" s="39">
        <v>9.2782231647123119</v>
      </c>
      <c r="U72" s="26" t="s">
        <v>66</v>
      </c>
      <c r="V72" s="26" t="s">
        <v>1160</v>
      </c>
      <c r="W72" s="26">
        <v>320880.97922966577</v>
      </c>
      <c r="X72" s="16" t="s">
        <v>67</v>
      </c>
      <c r="Y72" s="26">
        <v>32.088097922966575</v>
      </c>
      <c r="Z72" s="26" t="s">
        <v>67</v>
      </c>
      <c r="AA72" s="26">
        <v>1307019.11961936</v>
      </c>
      <c r="AB72" s="29" t="s">
        <v>89</v>
      </c>
      <c r="AC72" s="29" t="s">
        <v>70</v>
      </c>
      <c r="AD72" s="39" t="s">
        <v>70</v>
      </c>
      <c r="AE72" s="29" t="s">
        <v>70</v>
      </c>
      <c r="AF72" s="29" t="s">
        <v>70</v>
      </c>
      <c r="AG72" s="25">
        <v>311393.35301764845</v>
      </c>
      <c r="AH72" s="25" t="s">
        <v>65</v>
      </c>
      <c r="AI72" s="25" t="s">
        <v>69</v>
      </c>
      <c r="AJ72" s="25" t="s">
        <v>65</v>
      </c>
      <c r="AK72" s="17" t="s">
        <v>70</v>
      </c>
      <c r="AL72" s="27">
        <f t="shared" si="19"/>
        <v>1.0119180430194141</v>
      </c>
      <c r="AM72" s="27">
        <f t="shared" si="20"/>
        <v>5.5063453277503021</v>
      </c>
      <c r="AN72" s="27">
        <f t="shared" si="21"/>
        <v>1.5196718023577229</v>
      </c>
      <c r="AO72" s="27">
        <f t="shared" si="22"/>
        <v>6.1162822729458179</v>
      </c>
      <c r="AP72" s="27">
        <f t="shared" si="23"/>
        <v>0.37498850935582717</v>
      </c>
      <c r="AQ72" s="27">
        <f t="shared" si="24"/>
        <v>0.68758071041318969</v>
      </c>
      <c r="AR72" s="27">
        <f t="shared" si="25"/>
        <v>0.3662091995865901</v>
      </c>
      <c r="AS72" s="27">
        <f t="shared" si="26"/>
        <v>0.77646619696639829</v>
      </c>
      <c r="AT72" s="27">
        <f t="shared" si="28"/>
        <v>55.1</v>
      </c>
      <c r="AU72" s="27" t="b">
        <f t="shared" si="27"/>
        <v>0</v>
      </c>
      <c r="AV72" s="11"/>
    </row>
    <row r="73" spans="1:48">
      <c r="A73" s="25" t="s">
        <v>246</v>
      </c>
      <c r="B73" s="26" t="s">
        <v>893</v>
      </c>
      <c r="C73" s="26" t="s">
        <v>964</v>
      </c>
      <c r="D73" s="26" t="s">
        <v>219</v>
      </c>
      <c r="E73" s="25" t="s">
        <v>314</v>
      </c>
      <c r="F73" s="25">
        <v>360</v>
      </c>
      <c r="G73" s="25" t="s">
        <v>86</v>
      </c>
      <c r="H73" s="25" t="s">
        <v>315</v>
      </c>
      <c r="I73" s="50">
        <v>-6.1002777777777766</v>
      </c>
      <c r="J73" s="50">
        <v>106.54333333333329</v>
      </c>
      <c r="K73" s="25" t="s">
        <v>859</v>
      </c>
      <c r="L73" s="16" t="s">
        <v>965</v>
      </c>
      <c r="M73" s="25" t="s">
        <v>88</v>
      </c>
      <c r="N73" s="26" t="s">
        <v>61</v>
      </c>
      <c r="O73" s="25">
        <v>10531.19824</v>
      </c>
      <c r="P73" s="25">
        <v>275501339</v>
      </c>
      <c r="Q73" s="27">
        <v>0.24969797299999999</v>
      </c>
      <c r="R73" s="25" t="s">
        <v>64</v>
      </c>
      <c r="S73" s="28" t="s">
        <v>65</v>
      </c>
      <c r="T73" s="39">
        <v>9.6476800420526523</v>
      </c>
      <c r="U73" s="26" t="s">
        <v>66</v>
      </c>
      <c r="V73" s="26" t="s">
        <v>1160</v>
      </c>
      <c r="W73" s="26">
        <v>279609.80415180104</v>
      </c>
      <c r="X73" s="16" t="s">
        <v>67</v>
      </c>
      <c r="Y73" s="26">
        <v>27.960980415180106</v>
      </c>
      <c r="Z73" s="26" t="s">
        <v>67</v>
      </c>
      <c r="AA73" s="26">
        <v>1126040.4701688299</v>
      </c>
      <c r="AB73" s="29" t="s">
        <v>68</v>
      </c>
      <c r="AC73" s="29" t="s">
        <v>1149</v>
      </c>
      <c r="AD73" s="39">
        <v>0.8</v>
      </c>
      <c r="AE73" s="26">
        <v>15</v>
      </c>
      <c r="AF73" s="29" t="s">
        <v>1152</v>
      </c>
      <c r="AG73" s="30">
        <v>271342.46056111425</v>
      </c>
      <c r="AH73" s="25" t="s">
        <v>65</v>
      </c>
      <c r="AI73" s="25" t="s">
        <v>69</v>
      </c>
      <c r="AJ73" s="25" t="s">
        <v>65</v>
      </c>
      <c r="AK73" s="17" t="s">
        <v>70</v>
      </c>
      <c r="AL73" s="27">
        <f t="shared" si="19"/>
        <v>1.0272549923108396</v>
      </c>
      <c r="AM73" s="27">
        <f t="shared" si="20"/>
        <v>5.4465539485216219</v>
      </c>
      <c r="AN73" s="27">
        <f t="shared" si="21"/>
        <v>1.461813259931722</v>
      </c>
      <c r="AO73" s="27">
        <f t="shared" si="22"/>
        <v>6.0515543851279725</v>
      </c>
      <c r="AP73" s="27">
        <f t="shared" si="23"/>
        <v>0.38080007913042424</v>
      </c>
      <c r="AQ73" s="27">
        <f t="shared" si="24"/>
        <v>0.66857389636222142</v>
      </c>
      <c r="AR73" s="27">
        <f t="shared" si="25"/>
        <v>0.351425039202509</v>
      </c>
      <c r="AS73" s="27">
        <f t="shared" si="26"/>
        <v>0.76012474130834418</v>
      </c>
      <c r="AT73" s="27">
        <f t="shared" si="28"/>
        <v>54</v>
      </c>
      <c r="AU73" s="27" t="b">
        <f t="shared" si="27"/>
        <v>0</v>
      </c>
      <c r="AV73"/>
    </row>
    <row r="74" spans="1:48">
      <c r="A74" s="25" t="s">
        <v>254</v>
      </c>
      <c r="B74" s="26" t="s">
        <v>900</v>
      </c>
      <c r="C74" s="26" t="s">
        <v>966</v>
      </c>
      <c r="D74" s="26" t="s">
        <v>219</v>
      </c>
      <c r="E74" s="25" t="s">
        <v>314</v>
      </c>
      <c r="F74" s="25">
        <v>360</v>
      </c>
      <c r="G74" s="25" t="s">
        <v>86</v>
      </c>
      <c r="H74" s="25" t="s">
        <v>315</v>
      </c>
      <c r="I74" s="50">
        <v>-7.3897222222222227</v>
      </c>
      <c r="J74" s="50">
        <v>108.2675</v>
      </c>
      <c r="K74" s="25" t="s">
        <v>859</v>
      </c>
      <c r="L74" s="16" t="s">
        <v>967</v>
      </c>
      <c r="M74" s="25" t="s">
        <v>88</v>
      </c>
      <c r="N74" s="26" t="s">
        <v>61</v>
      </c>
      <c r="O74" s="25">
        <v>10531.19824</v>
      </c>
      <c r="P74" s="25">
        <v>275501339</v>
      </c>
      <c r="Q74" s="27">
        <v>0.24969797299999999</v>
      </c>
      <c r="R74" s="25" t="s">
        <v>64</v>
      </c>
      <c r="S74" s="28" t="s">
        <v>65</v>
      </c>
      <c r="T74" s="39">
        <v>6.1627445349535792</v>
      </c>
      <c r="U74" s="26" t="s">
        <v>66</v>
      </c>
      <c r="V74" s="26" t="s">
        <v>1160</v>
      </c>
      <c r="W74" s="26">
        <v>264916.91172245733</v>
      </c>
      <c r="X74" s="16" t="s">
        <v>67</v>
      </c>
      <c r="Y74" s="26">
        <v>26.491691172245734</v>
      </c>
      <c r="Z74" s="26" t="s">
        <v>67</v>
      </c>
      <c r="AA74" s="26">
        <v>1110260.58340842</v>
      </c>
      <c r="AB74" s="29" t="s">
        <v>89</v>
      </c>
      <c r="AC74" s="29" t="s">
        <v>70</v>
      </c>
      <c r="AD74" s="39" t="s">
        <v>70</v>
      </c>
      <c r="AE74" s="29" t="s">
        <v>70</v>
      </c>
      <c r="AF74" s="29" t="s">
        <v>70</v>
      </c>
      <c r="AG74" s="30">
        <v>257083.99921483963</v>
      </c>
      <c r="AH74" s="25" t="s">
        <v>65</v>
      </c>
      <c r="AI74" s="25" t="s">
        <v>69</v>
      </c>
      <c r="AJ74" s="25" t="s">
        <v>65</v>
      </c>
      <c r="AK74" s="17" t="s">
        <v>70</v>
      </c>
      <c r="AL74" s="27">
        <f t="shared" si="19"/>
        <v>0.85507946197274098</v>
      </c>
      <c r="AM74" s="27">
        <f t="shared" si="20"/>
        <v>5.4231113229602803</v>
      </c>
      <c r="AN74" s="27">
        <f t="shared" si="21"/>
        <v>1.4392014566198659</v>
      </c>
      <c r="AO74" s="27">
        <f t="shared" si="22"/>
        <v>6.0454253128829718</v>
      </c>
      <c r="AP74" s="27">
        <f t="shared" si="23"/>
        <v>0.31555828371042244</v>
      </c>
      <c r="AQ74" s="27">
        <f t="shared" si="24"/>
        <v>0.66112182499911154</v>
      </c>
      <c r="AR74" s="27">
        <f t="shared" si="25"/>
        <v>0.34564721430891909</v>
      </c>
      <c r="AS74" s="27">
        <f t="shared" si="26"/>
        <v>0.75857737176341866</v>
      </c>
      <c r="AT74" s="27">
        <f t="shared" si="28"/>
        <v>52</v>
      </c>
      <c r="AU74" s="27" t="b">
        <f t="shared" si="27"/>
        <v>0</v>
      </c>
      <c r="AV74"/>
    </row>
    <row r="75" spans="1:48" s="30" customFormat="1">
      <c r="A75" s="25" t="s">
        <v>255</v>
      </c>
      <c r="B75" s="26" t="s">
        <v>326</v>
      </c>
      <c r="C75" s="26" t="s">
        <v>892</v>
      </c>
      <c r="D75" s="26" t="s">
        <v>219</v>
      </c>
      <c r="E75" s="25" t="s">
        <v>314</v>
      </c>
      <c r="F75" s="25">
        <v>360</v>
      </c>
      <c r="G75" s="25" t="s">
        <v>86</v>
      </c>
      <c r="H75" s="25" t="s">
        <v>315</v>
      </c>
      <c r="I75" s="50">
        <v>-6.1355555555555563</v>
      </c>
      <c r="J75" s="50">
        <v>106.61861111111109</v>
      </c>
      <c r="K75" s="25" t="s">
        <v>62</v>
      </c>
      <c r="L75" s="16" t="s">
        <v>73</v>
      </c>
      <c r="M75" s="25" t="s">
        <v>88</v>
      </c>
      <c r="N75" s="26" t="s">
        <v>61</v>
      </c>
      <c r="O75" s="25">
        <v>10531.19824</v>
      </c>
      <c r="P75" s="25">
        <v>275501339</v>
      </c>
      <c r="Q75" s="27">
        <v>0.24969797299999999</v>
      </c>
      <c r="R75" s="25" t="s">
        <v>64</v>
      </c>
      <c r="S75" s="28" t="s">
        <v>65</v>
      </c>
      <c r="T75" s="39">
        <v>18.084115889006849</v>
      </c>
      <c r="U75" s="26" t="s">
        <v>66</v>
      </c>
      <c r="V75" s="26" t="s">
        <v>1160</v>
      </c>
      <c r="W75" s="26">
        <v>684628.80285026017</v>
      </c>
      <c r="X75" s="16" t="s">
        <v>928</v>
      </c>
      <c r="Y75" s="26">
        <v>68.462880285026017</v>
      </c>
      <c r="Z75" s="26" t="s">
        <v>67</v>
      </c>
      <c r="AA75" s="26">
        <v>2681355.8526543099</v>
      </c>
      <c r="AB75" s="29" t="s">
        <v>68</v>
      </c>
      <c r="AC75" s="29" t="s">
        <v>1149</v>
      </c>
      <c r="AD75" s="39">
        <v>1</v>
      </c>
      <c r="AE75" s="26">
        <v>9</v>
      </c>
      <c r="AF75" s="29" t="s">
        <v>1151</v>
      </c>
      <c r="AG75" s="25">
        <v>664386.08796258504</v>
      </c>
      <c r="AH75" s="25" t="s">
        <v>327</v>
      </c>
      <c r="AI75" s="25" t="s">
        <v>69</v>
      </c>
      <c r="AJ75" s="25" t="s">
        <v>327</v>
      </c>
      <c r="AK75" s="17" t="s">
        <v>328</v>
      </c>
      <c r="AL75" s="27">
        <f t="shared" si="19"/>
        <v>1.2806720451643656</v>
      </c>
      <c r="AM75" s="27">
        <f t="shared" si="20"/>
        <v>5.8354558006325492</v>
      </c>
      <c r="AN75" s="27">
        <f t="shared" si="21"/>
        <v>1.8417527874106574</v>
      </c>
      <c r="AO75" s="27">
        <f t="shared" si="22"/>
        <v>6.428354616603297</v>
      </c>
      <c r="AP75" s="27">
        <f t="shared" si="23"/>
        <v>0.47682640462361819</v>
      </c>
      <c r="AQ75" s="27">
        <f t="shared" si="24"/>
        <v>0.79220016627780032</v>
      </c>
      <c r="AR75" s="27">
        <f t="shared" si="25"/>
        <v>0.44850814352862683</v>
      </c>
      <c r="AS75" s="27">
        <f t="shared" si="26"/>
        <v>0.85525320111421066</v>
      </c>
      <c r="AT75" s="27">
        <f t="shared" si="28"/>
        <v>64.3</v>
      </c>
      <c r="AU75" s="27" t="b">
        <f t="shared" si="27"/>
        <v>0</v>
      </c>
      <c r="AV75" s="11"/>
    </row>
    <row r="76" spans="1:48" s="30" customFormat="1">
      <c r="A76" s="25" t="s">
        <v>263</v>
      </c>
      <c r="B76" s="26" t="s">
        <v>901</v>
      </c>
      <c r="C76" s="26" t="s">
        <v>968</v>
      </c>
      <c r="D76" s="26" t="s">
        <v>219</v>
      </c>
      <c r="E76" s="25" t="s">
        <v>314</v>
      </c>
      <c r="F76" s="25">
        <v>360</v>
      </c>
      <c r="G76" s="25" t="s">
        <v>86</v>
      </c>
      <c r="H76" s="25" t="s">
        <v>315</v>
      </c>
      <c r="I76" s="50">
        <v>-0.45666666666666672</v>
      </c>
      <c r="J76" s="50">
        <v>117.1161111111111</v>
      </c>
      <c r="K76" s="25" t="s">
        <v>859</v>
      </c>
      <c r="L76" s="16" t="s">
        <v>969</v>
      </c>
      <c r="M76" s="25" t="s">
        <v>88</v>
      </c>
      <c r="N76" s="26" t="s">
        <v>61</v>
      </c>
      <c r="O76" s="25">
        <v>10531.19824</v>
      </c>
      <c r="P76" s="25">
        <v>275501339</v>
      </c>
      <c r="Q76" s="27">
        <v>0.24969797299999999</v>
      </c>
      <c r="R76" s="25" t="s">
        <v>64</v>
      </c>
      <c r="S76" s="28" t="s">
        <v>65</v>
      </c>
      <c r="T76" s="39">
        <v>2.138161522925345</v>
      </c>
      <c r="U76" s="26" t="s">
        <v>66</v>
      </c>
      <c r="V76" s="26" t="s">
        <v>1159</v>
      </c>
      <c r="W76" s="26">
        <v>261101.12740271649</v>
      </c>
      <c r="X76" s="16" t="s">
        <v>67</v>
      </c>
      <c r="Y76" s="26">
        <v>26.110112740271649</v>
      </c>
      <c r="Z76" s="26" t="s">
        <v>67</v>
      </c>
      <c r="AA76" s="26">
        <v>1075688.8800788899</v>
      </c>
      <c r="AB76" s="29" t="s">
        <v>68</v>
      </c>
      <c r="AC76" s="29" t="s">
        <v>1149</v>
      </c>
      <c r="AD76" s="39">
        <v>1</v>
      </c>
      <c r="AE76" s="26">
        <v>2</v>
      </c>
      <c r="AF76" s="29" t="s">
        <v>1151</v>
      </c>
      <c r="AG76" s="25">
        <v>253381.03783467683</v>
      </c>
      <c r="AH76" s="25" t="s">
        <v>65</v>
      </c>
      <c r="AI76" s="25" t="s">
        <v>69</v>
      </c>
      <c r="AJ76" s="25" t="s">
        <v>65</v>
      </c>
      <c r="AK76" s="17" t="s">
        <v>70</v>
      </c>
      <c r="AL76" s="27">
        <f t="shared" si="19"/>
        <v>0.49667529320562009</v>
      </c>
      <c r="AM76" s="27">
        <f t="shared" si="20"/>
        <v>5.4168104103732952</v>
      </c>
      <c r="AN76" s="27">
        <f t="shared" si="21"/>
        <v>1.4331313236437853</v>
      </c>
      <c r="AO76" s="27">
        <f t="shared" si="22"/>
        <v>6.0316870828702251</v>
      </c>
      <c r="AP76" s="27">
        <f t="shared" si="23"/>
        <v>0.17974960398419423</v>
      </c>
      <c r="AQ76" s="27">
        <f t="shared" si="24"/>
        <v>0.65911885608557985</v>
      </c>
      <c r="AR76" s="27">
        <f t="shared" si="25"/>
        <v>0.34409615865303467</v>
      </c>
      <c r="AS76" s="27">
        <f t="shared" si="26"/>
        <v>0.75510896449505183</v>
      </c>
      <c r="AT76" s="27">
        <f t="shared" si="28"/>
        <v>48.5</v>
      </c>
      <c r="AU76" s="27" t="b">
        <f t="shared" si="27"/>
        <v>0</v>
      </c>
      <c r="AV76" s="11"/>
    </row>
    <row r="77" spans="1:48">
      <c r="A77" s="25" t="s">
        <v>264</v>
      </c>
      <c r="B77" s="26" t="s">
        <v>902</v>
      </c>
      <c r="C77" s="26" t="s">
        <v>970</v>
      </c>
      <c r="D77" s="26" t="s">
        <v>219</v>
      </c>
      <c r="E77" s="25" t="s">
        <v>314</v>
      </c>
      <c r="F77" s="25">
        <v>360</v>
      </c>
      <c r="G77" s="25" t="s">
        <v>86</v>
      </c>
      <c r="H77" s="25" t="s">
        <v>315</v>
      </c>
      <c r="I77" s="50">
        <v>-7.5355555555555558</v>
      </c>
      <c r="J77" s="50">
        <v>110.8563888888889</v>
      </c>
      <c r="K77" s="25" t="s">
        <v>859</v>
      </c>
      <c r="L77" s="16" t="s">
        <v>971</v>
      </c>
      <c r="M77" s="25" t="s">
        <v>88</v>
      </c>
      <c r="N77" s="26" t="s">
        <v>61</v>
      </c>
      <c r="O77" s="25">
        <v>10531.19824</v>
      </c>
      <c r="P77" s="25">
        <v>275501339</v>
      </c>
      <c r="Q77" s="27">
        <v>0.24969797299999999</v>
      </c>
      <c r="R77" s="25" t="s">
        <v>64</v>
      </c>
      <c r="S77" s="28" t="s">
        <v>65</v>
      </c>
      <c r="T77" s="39">
        <v>2.5173778295977391</v>
      </c>
      <c r="U77" s="26" t="s">
        <v>66</v>
      </c>
      <c r="V77" s="26" t="s">
        <v>1159</v>
      </c>
      <c r="W77" s="26">
        <v>243941.96437699805</v>
      </c>
      <c r="X77" s="16" t="s">
        <v>67</v>
      </c>
      <c r="Y77" s="26">
        <v>24.394196437699804</v>
      </c>
      <c r="Z77" s="26" t="s">
        <v>67</v>
      </c>
      <c r="AA77" s="26">
        <v>968193.83560348104</v>
      </c>
      <c r="AB77" s="29" t="s">
        <v>89</v>
      </c>
      <c r="AC77" s="29" t="s">
        <v>70</v>
      </c>
      <c r="AD77" s="39" t="s">
        <v>70</v>
      </c>
      <c r="AE77" s="29" t="s">
        <v>70</v>
      </c>
      <c r="AF77" s="29" t="s">
        <v>70</v>
      </c>
      <c r="AG77" s="30">
        <v>236729.22717770882</v>
      </c>
      <c r="AH77" s="25" t="s">
        <v>65</v>
      </c>
      <c r="AI77" s="25" t="s">
        <v>69</v>
      </c>
      <c r="AJ77" s="25" t="s">
        <v>65</v>
      </c>
      <c r="AK77" s="17" t="s">
        <v>70</v>
      </c>
      <c r="AL77" s="27">
        <f t="shared" si="19"/>
        <v>0.54621902185575744</v>
      </c>
      <c r="AM77" s="27">
        <f t="shared" si="20"/>
        <v>5.3872882970278759</v>
      </c>
      <c r="AN77" s="27">
        <f t="shared" si="21"/>
        <v>1.4047344747667307</v>
      </c>
      <c r="AO77" s="27">
        <f t="shared" si="22"/>
        <v>5.9859627617639779</v>
      </c>
      <c r="AP77" s="27">
        <f t="shared" si="23"/>
        <v>0.19852301390248564</v>
      </c>
      <c r="AQ77" s="27">
        <f t="shared" si="24"/>
        <v>0.64973420354893385</v>
      </c>
      <c r="AR77" s="27">
        <f t="shared" si="25"/>
        <v>0.33684012435632171</v>
      </c>
      <c r="AS77" s="27">
        <f t="shared" si="26"/>
        <v>0.74356522359692279</v>
      </c>
      <c r="AT77" s="27">
        <f t="shared" si="28"/>
        <v>48.2</v>
      </c>
      <c r="AU77" s="27" t="b">
        <f t="shared" si="27"/>
        <v>0</v>
      </c>
      <c r="AV77"/>
    </row>
    <row r="78" spans="1:48">
      <c r="A78" s="25" t="s">
        <v>265</v>
      </c>
      <c r="B78" s="26" t="s">
        <v>894</v>
      </c>
      <c r="C78" s="26" t="s">
        <v>895</v>
      </c>
      <c r="D78" s="26" t="s">
        <v>219</v>
      </c>
      <c r="E78" s="25" t="s">
        <v>314</v>
      </c>
      <c r="F78" s="25">
        <v>360</v>
      </c>
      <c r="G78" s="25" t="s">
        <v>86</v>
      </c>
      <c r="H78" s="25" t="s">
        <v>315</v>
      </c>
      <c r="I78" s="50">
        <v>-6.3250000000000002</v>
      </c>
      <c r="J78" s="50">
        <v>106.6594444444444</v>
      </c>
      <c r="K78" s="25" t="s">
        <v>62</v>
      </c>
      <c r="L78" s="16" t="s">
        <v>73</v>
      </c>
      <c r="M78" s="25" t="s">
        <v>88</v>
      </c>
      <c r="N78" s="26" t="s">
        <v>61</v>
      </c>
      <c r="O78" s="25">
        <v>10531.19824</v>
      </c>
      <c r="P78" s="25">
        <v>275501339</v>
      </c>
      <c r="Q78" s="27">
        <v>0.24969797299999999</v>
      </c>
      <c r="R78" s="25" t="s">
        <v>64</v>
      </c>
      <c r="S78" s="28" t="s">
        <v>65</v>
      </c>
      <c r="T78" s="39">
        <v>3.155551054433908</v>
      </c>
      <c r="U78" s="26" t="s">
        <v>66</v>
      </c>
      <c r="V78" s="26" t="s">
        <v>1160</v>
      </c>
      <c r="W78" s="26">
        <v>460091.03300994704</v>
      </c>
      <c r="X78" s="51" t="s">
        <v>896</v>
      </c>
      <c r="Y78" s="26">
        <v>45.822822200764556</v>
      </c>
      <c r="Z78" s="26" t="s">
        <v>67</v>
      </c>
      <c r="AA78" s="26">
        <v>1860191.9470997101</v>
      </c>
      <c r="AB78" s="29" t="s">
        <v>89</v>
      </c>
      <c r="AC78" s="29" t="s">
        <v>70</v>
      </c>
      <c r="AD78" s="39" t="s">
        <v>70</v>
      </c>
      <c r="AE78" s="29" t="s">
        <v>70</v>
      </c>
      <c r="AF78" s="29" t="s">
        <v>70</v>
      </c>
      <c r="AG78" s="30">
        <v>446487.32313852158</v>
      </c>
      <c r="AH78" s="25" t="s">
        <v>65</v>
      </c>
      <c r="AI78" s="25" t="s">
        <v>69</v>
      </c>
      <c r="AJ78" s="25" t="s">
        <v>65</v>
      </c>
      <c r="AK78" s="17" t="s">
        <v>70</v>
      </c>
      <c r="AL78" s="27">
        <f t="shared" si="19"/>
        <v>0.61862862235152494</v>
      </c>
      <c r="AM78" s="27">
        <f t="shared" si="20"/>
        <v>5.6628447130522899</v>
      </c>
      <c r="AN78" s="27">
        <f t="shared" si="21"/>
        <v>1.6704575868334846</v>
      </c>
      <c r="AO78" s="27">
        <f t="shared" si="22"/>
        <v>6.2695579934193795</v>
      </c>
      <c r="AP78" s="27">
        <f t="shared" si="23"/>
        <v>0.22596089855840754</v>
      </c>
      <c r="AQ78" s="27">
        <f t="shared" si="24"/>
        <v>0.73732959986678681</v>
      </c>
      <c r="AR78" s="27">
        <f t="shared" si="25"/>
        <v>0.404738362746555</v>
      </c>
      <c r="AS78" s="27">
        <f t="shared" si="26"/>
        <v>0.81516278469723491</v>
      </c>
      <c r="AT78" s="27">
        <f t="shared" si="28"/>
        <v>54.6</v>
      </c>
      <c r="AU78" s="27" t="b">
        <f t="shared" si="27"/>
        <v>0</v>
      </c>
      <c r="AV78"/>
    </row>
    <row r="79" spans="1:48">
      <c r="A79" s="25" t="s">
        <v>266</v>
      </c>
      <c r="B79" s="26" t="s">
        <v>906</v>
      </c>
      <c r="C79" s="26" t="s">
        <v>972</v>
      </c>
      <c r="D79" s="26" t="s">
        <v>219</v>
      </c>
      <c r="E79" s="25" t="s">
        <v>314</v>
      </c>
      <c r="F79" s="25">
        <v>360</v>
      </c>
      <c r="G79" s="25" t="s">
        <v>86</v>
      </c>
      <c r="H79" s="25" t="s">
        <v>315</v>
      </c>
      <c r="I79" s="50">
        <v>3.5766666666666662</v>
      </c>
      <c r="J79" s="50">
        <v>98.500277777777782</v>
      </c>
      <c r="K79" s="25" t="s">
        <v>859</v>
      </c>
      <c r="L79" s="16" t="s">
        <v>973</v>
      </c>
      <c r="M79" s="25" t="s">
        <v>88</v>
      </c>
      <c r="N79" s="26" t="s">
        <v>61</v>
      </c>
      <c r="O79" s="25">
        <v>10531.19824</v>
      </c>
      <c r="P79" s="25">
        <v>275501339</v>
      </c>
      <c r="Q79" s="27">
        <v>0.24969797299999999</v>
      </c>
      <c r="R79" s="25" t="s">
        <v>64</v>
      </c>
      <c r="S79" s="28" t="s">
        <v>65</v>
      </c>
      <c r="T79" s="39">
        <v>293.1649418173331</v>
      </c>
      <c r="U79" s="26" t="s">
        <v>66</v>
      </c>
      <c r="V79" s="26" t="s">
        <v>1160</v>
      </c>
      <c r="W79" s="26">
        <v>172127.43713545118</v>
      </c>
      <c r="X79" s="16" t="s">
        <v>67</v>
      </c>
      <c r="Y79" s="26">
        <v>17.21274371354512</v>
      </c>
      <c r="Z79" s="26" t="s">
        <v>67</v>
      </c>
      <c r="AA79" s="26">
        <v>649100.60476881894</v>
      </c>
      <c r="AB79" s="29" t="s">
        <v>68</v>
      </c>
      <c r="AC79" s="29" t="s">
        <v>1149</v>
      </c>
      <c r="AD79" s="39">
        <v>1</v>
      </c>
      <c r="AE79" s="26">
        <v>1</v>
      </c>
      <c r="AF79" s="29" t="s">
        <v>1151</v>
      </c>
      <c r="AG79" s="30">
        <v>167038.07101504679</v>
      </c>
      <c r="AH79" s="25" t="s">
        <v>65</v>
      </c>
      <c r="AI79" s="25" t="s">
        <v>69</v>
      </c>
      <c r="AJ79" s="25" t="s">
        <v>65</v>
      </c>
      <c r="AK79" s="17" t="s">
        <v>70</v>
      </c>
      <c r="AL79" s="27">
        <f t="shared" si="19"/>
        <v>2.468590912842485</v>
      </c>
      <c r="AM79" s="27">
        <f t="shared" si="20"/>
        <v>5.2358526255325541</v>
      </c>
      <c r="AN79" s="27">
        <f t="shared" si="21"/>
        <v>1.2603753763217465</v>
      </c>
      <c r="AO79" s="27">
        <f t="shared" si="22"/>
        <v>5.8123126828353007</v>
      </c>
      <c r="AP79" s="27">
        <f t="shared" si="23"/>
        <v>0.92695982130847843</v>
      </c>
      <c r="AQ79" s="27">
        <f t="shared" si="24"/>
        <v>0.60159499542351813</v>
      </c>
      <c r="AR79" s="27">
        <f t="shared" si="25"/>
        <v>0.29995312418618086</v>
      </c>
      <c r="AS79" s="27">
        <f t="shared" si="26"/>
        <v>0.69972484566251059</v>
      </c>
      <c r="AT79" s="27">
        <f t="shared" si="28"/>
        <v>63.2</v>
      </c>
      <c r="AU79" s="27" t="b">
        <f t="shared" si="27"/>
        <v>0</v>
      </c>
      <c r="AV79"/>
    </row>
    <row r="80" spans="1:48" s="30" customFormat="1" ht="12.5" customHeight="1">
      <c r="A80" s="25" t="s">
        <v>274</v>
      </c>
      <c r="B80" s="26" t="s">
        <v>897</v>
      </c>
      <c r="C80" s="26" t="s">
        <v>330</v>
      </c>
      <c r="D80" s="26" t="s">
        <v>219</v>
      </c>
      <c r="E80" s="25" t="s">
        <v>314</v>
      </c>
      <c r="F80" s="25">
        <v>360</v>
      </c>
      <c r="G80" s="25" t="s">
        <v>86</v>
      </c>
      <c r="H80" s="25" t="s">
        <v>315</v>
      </c>
      <c r="I80" s="50">
        <v>-6.349444444444444</v>
      </c>
      <c r="J80" s="50">
        <v>107.02027777777781</v>
      </c>
      <c r="K80" s="25" t="s">
        <v>62</v>
      </c>
      <c r="L80" s="16" t="s">
        <v>898</v>
      </c>
      <c r="M80" s="25" t="s">
        <v>88</v>
      </c>
      <c r="N80" s="26" t="s">
        <v>61</v>
      </c>
      <c r="O80" s="25">
        <v>10531.19824</v>
      </c>
      <c r="P80" s="25">
        <v>275501339</v>
      </c>
      <c r="Q80" s="27">
        <v>0.24969797299999999</v>
      </c>
      <c r="R80" s="25" t="s">
        <v>64</v>
      </c>
      <c r="S80" s="28">
        <v>1997</v>
      </c>
      <c r="T80" s="39">
        <v>6.7105376907021625</v>
      </c>
      <c r="U80" s="26" t="s">
        <v>66</v>
      </c>
      <c r="V80" s="26" t="s">
        <v>1160</v>
      </c>
      <c r="W80" s="26">
        <v>625554.41257340182</v>
      </c>
      <c r="X80" s="16" t="s">
        <v>67</v>
      </c>
      <c r="Y80" s="26">
        <v>62.555441257340185</v>
      </c>
      <c r="Z80" s="26" t="s">
        <v>67</v>
      </c>
      <c r="AA80" s="26">
        <v>2519549.6609575599</v>
      </c>
      <c r="AB80" s="29" t="s">
        <v>89</v>
      </c>
      <c r="AC80" s="29" t="s">
        <v>70</v>
      </c>
      <c r="AD80" s="39" t="s">
        <v>70</v>
      </c>
      <c r="AE80" s="29" t="s">
        <v>70</v>
      </c>
      <c r="AF80" s="29" t="s">
        <v>70</v>
      </c>
      <c r="AG80" s="25">
        <v>607058.37564400036</v>
      </c>
      <c r="AH80" s="25" t="s">
        <v>65</v>
      </c>
      <c r="AI80" s="25" t="s">
        <v>69</v>
      </c>
      <c r="AJ80" s="25" t="s">
        <v>904</v>
      </c>
      <c r="AK80" s="59" t="s">
        <v>905</v>
      </c>
      <c r="AL80" s="27">
        <f t="shared" si="19"/>
        <v>0.88708466442743727</v>
      </c>
      <c r="AM80" s="27">
        <f t="shared" si="20"/>
        <v>5.79626578614607</v>
      </c>
      <c r="AN80" s="27">
        <f t="shared" si="21"/>
        <v>1.8031527383184549</v>
      </c>
      <c r="AO80" s="27">
        <f t="shared" si="22"/>
        <v>6.4013230951994746</v>
      </c>
      <c r="AP80" s="27">
        <f t="shared" si="23"/>
        <v>0.32768588899106083</v>
      </c>
      <c r="AQ80" s="27">
        <f t="shared" si="24"/>
        <v>0.77974222789925274</v>
      </c>
      <c r="AR80" s="27">
        <f t="shared" si="25"/>
        <v>0.43864496183264146</v>
      </c>
      <c r="AS80" s="27">
        <f t="shared" si="26"/>
        <v>0.84842871752170701</v>
      </c>
      <c r="AT80" s="27">
        <f t="shared" si="28"/>
        <v>59.9</v>
      </c>
      <c r="AU80" s="27" t="b">
        <f t="shared" si="27"/>
        <v>0</v>
      </c>
      <c r="AV80" s="11"/>
    </row>
    <row r="81" spans="1:48" s="30" customFormat="1">
      <c r="A81" s="25" t="s">
        <v>278</v>
      </c>
      <c r="B81" s="26" t="s">
        <v>907</v>
      </c>
      <c r="C81" s="26" t="s">
        <v>974</v>
      </c>
      <c r="D81" s="26" t="s">
        <v>219</v>
      </c>
      <c r="E81" s="25" t="s">
        <v>314</v>
      </c>
      <c r="F81" s="25">
        <v>360</v>
      </c>
      <c r="G81" s="25" t="s">
        <v>86</v>
      </c>
      <c r="H81" s="25" t="s">
        <v>315</v>
      </c>
      <c r="I81" s="50">
        <v>-5.4588888888888887</v>
      </c>
      <c r="J81" s="50">
        <v>105.24</v>
      </c>
      <c r="K81" s="25" t="s">
        <v>859</v>
      </c>
      <c r="L81" s="16" t="s">
        <v>975</v>
      </c>
      <c r="M81" s="25" t="s">
        <v>88</v>
      </c>
      <c r="N81" s="26" t="s">
        <v>61</v>
      </c>
      <c r="O81" s="25">
        <v>10531.19824</v>
      </c>
      <c r="P81" s="25">
        <v>275501339</v>
      </c>
      <c r="Q81" s="27">
        <v>0.24969797299999999</v>
      </c>
      <c r="R81" s="25" t="s">
        <v>64</v>
      </c>
      <c r="S81" s="28" t="s">
        <v>65</v>
      </c>
      <c r="T81" s="39">
        <v>4.7237475687739323</v>
      </c>
      <c r="U81" s="26" t="s">
        <v>66</v>
      </c>
      <c r="V81" s="26" t="s">
        <v>1160</v>
      </c>
      <c r="W81" s="26">
        <v>171632.52433778165</v>
      </c>
      <c r="X81" s="16" t="s">
        <v>67</v>
      </c>
      <c r="Y81" s="26">
        <v>17.163252433778165</v>
      </c>
      <c r="Z81" s="26" t="s">
        <v>67</v>
      </c>
      <c r="AA81" s="26">
        <v>787481.21804230602</v>
      </c>
      <c r="AB81" s="29" t="s">
        <v>89</v>
      </c>
      <c r="AC81" s="29" t="s">
        <v>70</v>
      </c>
      <c r="AD81" s="39" t="s">
        <v>70</v>
      </c>
      <c r="AE81" s="29" t="s">
        <v>70</v>
      </c>
      <c r="AF81" s="29" t="s">
        <v>70</v>
      </c>
      <c r="AG81" s="25">
        <v>166557.79151737251</v>
      </c>
      <c r="AH81" s="25" t="s">
        <v>65</v>
      </c>
      <c r="AI81" s="25" t="s">
        <v>69</v>
      </c>
      <c r="AJ81" s="25" t="s">
        <v>65</v>
      </c>
      <c r="AK81" s="17" t="s">
        <v>70</v>
      </c>
      <c r="AL81" s="27">
        <f t="shared" si="19"/>
        <v>0.75768047206433387</v>
      </c>
      <c r="AM81" s="27">
        <f t="shared" si="20"/>
        <v>5.23460212041772</v>
      </c>
      <c r="AN81" s="27">
        <f t="shared" si="21"/>
        <v>1.2591936188308783</v>
      </c>
      <c r="AO81" s="27">
        <f t="shared" si="22"/>
        <v>5.8962407558669785</v>
      </c>
      <c r="AP81" s="27">
        <f t="shared" si="23"/>
        <v>0.2786512681708686</v>
      </c>
      <c r="AQ81" s="27">
        <f t="shared" si="24"/>
        <v>0.60119747794701817</v>
      </c>
      <c r="AR81" s="27">
        <f t="shared" si="25"/>
        <v>0.29965115853776464</v>
      </c>
      <c r="AS81" s="27">
        <f t="shared" si="26"/>
        <v>0.72091365515638328</v>
      </c>
      <c r="AT81" s="27">
        <f t="shared" si="28"/>
        <v>47.5</v>
      </c>
      <c r="AU81" s="27" t="b">
        <f t="shared" si="27"/>
        <v>0</v>
      </c>
      <c r="AV81" s="11"/>
    </row>
    <row r="82" spans="1:48" s="30" customFormat="1">
      <c r="A82" s="25" t="s">
        <v>285</v>
      </c>
      <c r="B82" s="26" t="s">
        <v>908</v>
      </c>
      <c r="C82" s="26" t="s">
        <v>976</v>
      </c>
      <c r="D82" s="26" t="s">
        <v>219</v>
      </c>
      <c r="E82" s="25" t="s">
        <v>314</v>
      </c>
      <c r="F82" s="25">
        <v>360</v>
      </c>
      <c r="G82" s="25" t="s">
        <v>86</v>
      </c>
      <c r="H82" s="25" t="s">
        <v>315</v>
      </c>
      <c r="I82" s="50">
        <v>3.719444444444445</v>
      </c>
      <c r="J82" s="50">
        <v>98.649722222222223</v>
      </c>
      <c r="K82" s="25" t="s">
        <v>859</v>
      </c>
      <c r="L82" s="16" t="s">
        <v>977</v>
      </c>
      <c r="M82" s="25" t="s">
        <v>88</v>
      </c>
      <c r="N82" s="26" t="s">
        <v>61</v>
      </c>
      <c r="O82" s="25">
        <v>10531.19824</v>
      </c>
      <c r="P82" s="25">
        <v>275501339</v>
      </c>
      <c r="Q82" s="27">
        <v>0.24969797299999999</v>
      </c>
      <c r="R82" s="25" t="s">
        <v>64</v>
      </c>
      <c r="S82" s="28" t="s">
        <v>65</v>
      </c>
      <c r="T82" s="39">
        <v>7.4451940879609548</v>
      </c>
      <c r="U82" s="26" t="s">
        <v>66</v>
      </c>
      <c r="V82" s="26" t="s">
        <v>1159</v>
      </c>
      <c r="W82" s="26">
        <v>149564.02815445737</v>
      </c>
      <c r="X82" s="16" t="s">
        <v>67</v>
      </c>
      <c r="Y82" s="26">
        <v>14.956402815445736</v>
      </c>
      <c r="Z82" s="26" t="s">
        <v>67</v>
      </c>
      <c r="AA82" s="26">
        <v>643080.597355337</v>
      </c>
      <c r="AB82" s="29" t="s">
        <v>68</v>
      </c>
      <c r="AC82" s="29" t="s">
        <v>1149</v>
      </c>
      <c r="AD82" s="39">
        <v>0.90909090909090895</v>
      </c>
      <c r="AE82" s="26">
        <v>11</v>
      </c>
      <c r="AF82" s="29" t="s">
        <v>1151</v>
      </c>
      <c r="AG82" s="25">
        <v>145141.80407218338</v>
      </c>
      <c r="AH82" s="25" t="s">
        <v>65</v>
      </c>
      <c r="AI82" s="25" t="s">
        <v>69</v>
      </c>
      <c r="AJ82" s="25" t="s">
        <v>65</v>
      </c>
      <c r="AK82" s="17" t="s">
        <v>70</v>
      </c>
      <c r="AL82" s="27">
        <f t="shared" si="19"/>
        <v>0.92660963500375271</v>
      </c>
      <c r="AM82" s="27">
        <f t="shared" si="20"/>
        <v>5.1748300570640771</v>
      </c>
      <c r="AN82" s="27">
        <f t="shared" si="21"/>
        <v>1.2029349914330592</v>
      </c>
      <c r="AO82" s="27">
        <f t="shared" si="22"/>
        <v>5.8082660818399878</v>
      </c>
      <c r="AP82" s="27">
        <f t="shared" si="23"/>
        <v>0.34266293038165707</v>
      </c>
      <c r="AQ82" s="27">
        <f t="shared" si="24"/>
        <v>0.582196804133151</v>
      </c>
      <c r="AR82" s="27">
        <f t="shared" si="25"/>
        <v>0.28527581246848926</v>
      </c>
      <c r="AS82" s="27">
        <f t="shared" si="26"/>
        <v>0.69870322495217885</v>
      </c>
      <c r="AT82" s="27">
        <f t="shared" si="28"/>
        <v>47.7</v>
      </c>
      <c r="AU82" s="27" t="b">
        <f t="shared" si="27"/>
        <v>0</v>
      </c>
      <c r="AV82" s="11"/>
    </row>
    <row r="83" spans="1:48" s="30" customFormat="1">
      <c r="A83" s="25" t="s">
        <v>340</v>
      </c>
      <c r="B83" s="26" t="s">
        <v>911</v>
      </c>
      <c r="C83" s="26" t="s">
        <v>348</v>
      </c>
      <c r="D83" s="26" t="s">
        <v>341</v>
      </c>
      <c r="E83" s="25" t="s">
        <v>349</v>
      </c>
      <c r="F83" s="25">
        <v>368</v>
      </c>
      <c r="G83" s="25" t="s">
        <v>86</v>
      </c>
      <c r="H83" s="25" t="s">
        <v>180</v>
      </c>
      <c r="I83" s="50">
        <v>33.539904999999997</v>
      </c>
      <c r="J83" s="50">
        <v>44.294820000000001</v>
      </c>
      <c r="K83" s="25" t="s">
        <v>62</v>
      </c>
      <c r="L83" s="16" t="s">
        <v>73</v>
      </c>
      <c r="M83" s="25" t="s">
        <v>60</v>
      </c>
      <c r="N83" s="26" t="s">
        <v>61</v>
      </c>
      <c r="O83" s="25">
        <v>10310.679690000001</v>
      </c>
      <c r="P83" s="25">
        <v>44496122</v>
      </c>
      <c r="Q83" s="27">
        <v>0.36383121200000001</v>
      </c>
      <c r="R83" s="25" t="s">
        <v>64</v>
      </c>
      <c r="S83" s="28" t="s">
        <v>65</v>
      </c>
      <c r="T83" s="39">
        <v>34.570516099999999</v>
      </c>
      <c r="U83" s="26" t="s">
        <v>66</v>
      </c>
      <c r="V83" s="26" t="s">
        <v>1160</v>
      </c>
      <c r="W83" s="26">
        <v>466119.17121867341</v>
      </c>
      <c r="X83" s="16" t="s">
        <v>67</v>
      </c>
      <c r="Y83" s="26">
        <v>46.00910330099471</v>
      </c>
      <c r="Z83" s="26" t="s">
        <v>67</v>
      </c>
      <c r="AA83" s="26">
        <v>489211.37742534402</v>
      </c>
      <c r="AB83" s="29" t="s">
        <v>68</v>
      </c>
      <c r="AC83" s="29" t="s">
        <v>1149</v>
      </c>
      <c r="AD83" s="39">
        <v>0.66666666666666596</v>
      </c>
      <c r="AE83" s="26">
        <v>3</v>
      </c>
      <c r="AF83" s="29" t="s">
        <v>1151</v>
      </c>
      <c r="AG83" s="25">
        <v>467088.3605630438</v>
      </c>
      <c r="AH83" s="25" t="s">
        <v>350</v>
      </c>
      <c r="AI83" s="25" t="s">
        <v>69</v>
      </c>
      <c r="AJ83" s="25" t="s">
        <v>350</v>
      </c>
      <c r="AK83" s="17" t="s">
        <v>351</v>
      </c>
      <c r="AL83" s="27">
        <f t="shared" si="19"/>
        <v>1.5510901665002605</v>
      </c>
      <c r="AM83" s="27">
        <f t="shared" si="20"/>
        <v>5.6684978973102123</v>
      </c>
      <c r="AN83" s="27">
        <f t="shared" si="21"/>
        <v>1.6721819670966953</v>
      </c>
      <c r="AO83" s="27">
        <f t="shared" si="22"/>
        <v>5.6894974364663025</v>
      </c>
      <c r="AP83" s="27">
        <f t="shared" si="23"/>
        <v>0.57929487802058266</v>
      </c>
      <c r="AQ83" s="27">
        <f t="shared" si="24"/>
        <v>0.73912666531957127</v>
      </c>
      <c r="AR83" s="27">
        <f t="shared" si="25"/>
        <v>0.40517898073148018</v>
      </c>
      <c r="AS83" s="27">
        <f t="shared" si="26"/>
        <v>0.66871842833092798</v>
      </c>
      <c r="AT83" s="27">
        <f t="shared" si="28"/>
        <v>59.8</v>
      </c>
      <c r="AU83" s="27" t="b">
        <f t="shared" si="27"/>
        <v>0</v>
      </c>
      <c r="AV83" s="11"/>
    </row>
    <row r="84" spans="1:48" s="30" customFormat="1">
      <c r="A84" s="25" t="s">
        <v>342</v>
      </c>
      <c r="B84" s="26" t="s">
        <v>390</v>
      </c>
      <c r="C84" s="26" t="s">
        <v>391</v>
      </c>
      <c r="D84" s="26" t="s">
        <v>344</v>
      </c>
      <c r="E84" s="25" t="s">
        <v>355</v>
      </c>
      <c r="F84" s="25">
        <v>400</v>
      </c>
      <c r="G84" s="25" t="s">
        <v>86</v>
      </c>
      <c r="H84" s="25" t="s">
        <v>180</v>
      </c>
      <c r="I84" s="50">
        <v>32.575099999999999</v>
      </c>
      <c r="J84" s="50">
        <v>35.614899999999999</v>
      </c>
      <c r="K84" s="25" t="s">
        <v>62</v>
      </c>
      <c r="L84" s="16" t="s">
        <v>362</v>
      </c>
      <c r="M84" s="25" t="s">
        <v>60</v>
      </c>
      <c r="N84" s="26" t="s">
        <v>61</v>
      </c>
      <c r="O84" s="25">
        <v>10413.17578</v>
      </c>
      <c r="P84" s="25">
        <v>11285869</v>
      </c>
      <c r="Q84" s="27">
        <v>0.30070812699999999</v>
      </c>
      <c r="R84" s="25" t="s">
        <v>64</v>
      </c>
      <c r="S84" s="28">
        <v>1987</v>
      </c>
      <c r="T84" s="39">
        <v>18.036423339241878</v>
      </c>
      <c r="U84" s="26" t="s">
        <v>66</v>
      </c>
      <c r="V84" s="26" t="s">
        <v>1159</v>
      </c>
      <c r="W84" s="26">
        <v>59495</v>
      </c>
      <c r="X84" s="16" t="s">
        <v>362</v>
      </c>
      <c r="Y84" s="26">
        <v>5.9495000000000005</v>
      </c>
      <c r="Z84" s="26" t="s">
        <v>67</v>
      </c>
      <c r="AA84" s="26">
        <v>114225.441987438</v>
      </c>
      <c r="AB84" s="29" t="s">
        <v>89</v>
      </c>
      <c r="AC84" s="29" t="s">
        <v>70</v>
      </c>
      <c r="AD84" s="39" t="s">
        <v>70</v>
      </c>
      <c r="AE84" s="29" t="s">
        <v>70</v>
      </c>
      <c r="AF84" s="29" t="s">
        <v>70</v>
      </c>
      <c r="AG84" s="25">
        <v>59618.706390133186</v>
      </c>
      <c r="AH84" s="25" t="s">
        <v>392</v>
      </c>
      <c r="AI84" s="25" t="s">
        <v>69</v>
      </c>
      <c r="AJ84" s="25" t="s">
        <v>392</v>
      </c>
      <c r="AK84" s="17" t="s">
        <v>362</v>
      </c>
      <c r="AL84" s="27">
        <f t="shared" si="19"/>
        <v>1.2795853542404201</v>
      </c>
      <c r="AM84" s="27">
        <f t="shared" si="20"/>
        <v>4.7744877684794274</v>
      </c>
      <c r="AN84" s="27">
        <f t="shared" si="21"/>
        <v>0.84195355925883653</v>
      </c>
      <c r="AO84" s="27">
        <f t="shared" si="22"/>
        <v>5.0577666492686433</v>
      </c>
      <c r="AP84" s="27">
        <f t="shared" si="23"/>
        <v>0.4764146291128612</v>
      </c>
      <c r="AQ84" s="27">
        <f t="shared" si="24"/>
        <v>0.45493378504866105</v>
      </c>
      <c r="AR84" s="27">
        <f t="shared" si="25"/>
        <v>0.19303692837000738</v>
      </c>
      <c r="AS84" s="27">
        <f t="shared" si="26"/>
        <v>0.50922920359568147</v>
      </c>
      <c r="AT84" s="27">
        <f t="shared" si="28"/>
        <v>40.799999999999997</v>
      </c>
      <c r="AU84" s="27" t="b">
        <f t="shared" si="27"/>
        <v>0</v>
      </c>
      <c r="AV84" s="11"/>
    </row>
    <row r="85" spans="1:48" s="30" customFormat="1">
      <c r="A85" s="25" t="s">
        <v>347</v>
      </c>
      <c r="B85" s="26" t="s">
        <v>369</v>
      </c>
      <c r="C85" s="26" t="s">
        <v>370</v>
      </c>
      <c r="D85" s="26" t="s">
        <v>344</v>
      </c>
      <c r="E85" s="25" t="s">
        <v>355</v>
      </c>
      <c r="F85" s="25">
        <v>400</v>
      </c>
      <c r="G85" s="25" t="s">
        <v>86</v>
      </c>
      <c r="H85" s="25" t="s">
        <v>180</v>
      </c>
      <c r="I85" s="50">
        <v>32.06109</v>
      </c>
      <c r="J85" s="50">
        <v>35.655360000000002</v>
      </c>
      <c r="K85" s="25" t="s">
        <v>62</v>
      </c>
      <c r="L85" s="16" t="s">
        <v>362</v>
      </c>
      <c r="M85" s="25" t="s">
        <v>60</v>
      </c>
      <c r="N85" s="26" t="s">
        <v>61</v>
      </c>
      <c r="O85" s="25">
        <v>10413.17578</v>
      </c>
      <c r="P85" s="25">
        <v>11285869</v>
      </c>
      <c r="Q85" s="27">
        <v>0.30070812699999999</v>
      </c>
      <c r="R85" s="25" t="s">
        <v>64</v>
      </c>
      <c r="S85" s="28">
        <v>1989</v>
      </c>
      <c r="T85" s="39">
        <v>15.31113602336235</v>
      </c>
      <c r="U85" s="26" t="s">
        <v>66</v>
      </c>
      <c r="V85" s="26" t="s">
        <v>1160</v>
      </c>
      <c r="W85" s="26">
        <v>136875</v>
      </c>
      <c r="X85" s="16" t="s">
        <v>362</v>
      </c>
      <c r="Y85" s="26">
        <v>13.6875</v>
      </c>
      <c r="Z85" s="26" t="s">
        <v>67</v>
      </c>
      <c r="AA85" s="26">
        <v>196791.727235422</v>
      </c>
      <c r="AB85" s="29" t="s">
        <v>68</v>
      </c>
      <c r="AC85" s="29" t="s">
        <v>1149</v>
      </c>
      <c r="AD85" s="39">
        <v>1</v>
      </c>
      <c r="AE85" s="26">
        <v>1</v>
      </c>
      <c r="AF85" s="29" t="s">
        <v>1151</v>
      </c>
      <c r="AG85" s="25">
        <v>137159.60059079723</v>
      </c>
      <c r="AH85" s="25" t="s">
        <v>371</v>
      </c>
      <c r="AI85" s="25" t="s">
        <v>69</v>
      </c>
      <c r="AJ85" s="25" t="s">
        <v>371</v>
      </c>
      <c r="AK85" s="17" t="s">
        <v>362</v>
      </c>
      <c r="AL85" s="27">
        <f t="shared" si="19"/>
        <v>1.2124842094459369</v>
      </c>
      <c r="AM85" s="27">
        <f t="shared" si="20"/>
        <v>5.1363273051003251</v>
      </c>
      <c r="AN85" s="27">
        <f t="shared" si="21"/>
        <v>1.1669478796158115</v>
      </c>
      <c r="AO85" s="27">
        <f t="shared" si="22"/>
        <v>5.2940090444007719</v>
      </c>
      <c r="AP85" s="27">
        <f t="shared" si="23"/>
        <v>0.4509882566629958</v>
      </c>
      <c r="AQ85" s="27">
        <f t="shared" si="24"/>
        <v>0.56995733656330849</v>
      </c>
      <c r="AR85" s="27">
        <f t="shared" si="25"/>
        <v>0.27608029508146709</v>
      </c>
      <c r="AS85" s="27">
        <f t="shared" si="26"/>
        <v>0.56887188242784681</v>
      </c>
      <c r="AT85" s="27">
        <f t="shared" si="28"/>
        <v>46.6</v>
      </c>
      <c r="AU85" s="27" t="b">
        <f t="shared" si="27"/>
        <v>0</v>
      </c>
      <c r="AV85" s="11"/>
    </row>
    <row r="86" spans="1:48" s="30" customFormat="1">
      <c r="A86" s="25" t="s">
        <v>352</v>
      </c>
      <c r="B86" s="26" t="s">
        <v>426</v>
      </c>
      <c r="C86" s="26" t="s">
        <v>423</v>
      </c>
      <c r="D86" s="26" t="s">
        <v>344</v>
      </c>
      <c r="E86" s="25" t="s">
        <v>355</v>
      </c>
      <c r="F86" s="25">
        <v>400</v>
      </c>
      <c r="G86" s="25" t="s">
        <v>86</v>
      </c>
      <c r="H86" s="25" t="s">
        <v>180</v>
      </c>
      <c r="I86" s="50">
        <v>31.233470000000001</v>
      </c>
      <c r="J86" s="50">
        <v>35.489379999999997</v>
      </c>
      <c r="K86" s="25" t="s">
        <v>62</v>
      </c>
      <c r="L86" s="16" t="s">
        <v>362</v>
      </c>
      <c r="M86" s="25" t="s">
        <v>60</v>
      </c>
      <c r="N86" s="26" t="s">
        <v>61</v>
      </c>
      <c r="O86" s="25">
        <v>10413.17578</v>
      </c>
      <c r="P86" s="25">
        <v>11285869</v>
      </c>
      <c r="Q86" s="27">
        <v>0.30070812699999999</v>
      </c>
      <c r="R86" s="25" t="s">
        <v>64</v>
      </c>
      <c r="S86" s="28">
        <v>1997</v>
      </c>
      <c r="T86" s="39">
        <v>28.863897981869989</v>
      </c>
      <c r="U86" s="26" t="s">
        <v>66</v>
      </c>
      <c r="V86" s="26" t="s">
        <v>1159</v>
      </c>
      <c r="W86" s="26">
        <v>8030</v>
      </c>
      <c r="X86" s="16" t="s">
        <v>362</v>
      </c>
      <c r="Y86" s="26">
        <v>0.80300000000000005</v>
      </c>
      <c r="Z86" s="26" t="s">
        <v>67</v>
      </c>
      <c r="AA86" s="26">
        <v>22040.775162226098</v>
      </c>
      <c r="AB86" s="29" t="s">
        <v>68</v>
      </c>
      <c r="AC86" s="29" t="s">
        <v>1150</v>
      </c>
      <c r="AD86" s="39">
        <v>0</v>
      </c>
      <c r="AE86" s="26">
        <v>2</v>
      </c>
      <c r="AF86" s="29" t="s">
        <v>1151</v>
      </c>
      <c r="AG86" s="25">
        <v>8046.6965679934347</v>
      </c>
      <c r="AH86" s="25" t="s">
        <v>424</v>
      </c>
      <c r="AI86" s="25" t="s">
        <v>69</v>
      </c>
      <c r="AJ86" s="25" t="s">
        <v>424</v>
      </c>
      <c r="AK86" s="17" t="s">
        <v>362</v>
      </c>
      <c r="AL86" s="27">
        <f t="shared" si="19"/>
        <v>1.475146493326412</v>
      </c>
      <c r="AM86" s="27">
        <f t="shared" si="20"/>
        <v>3.9047696259065949</v>
      </c>
      <c r="AN86" s="27">
        <f t="shared" si="21"/>
        <v>0.25599572672240195</v>
      </c>
      <c r="AO86" s="27">
        <f t="shared" si="22"/>
        <v>4.3432465680433596</v>
      </c>
      <c r="AP86" s="27">
        <f t="shared" si="23"/>
        <v>0.55051784112734792</v>
      </c>
      <c r="AQ86" s="27">
        <f t="shared" si="24"/>
        <v>0.17846297561287397</v>
      </c>
      <c r="AR86" s="27">
        <f t="shared" si="25"/>
        <v>4.3311508210888867E-2</v>
      </c>
      <c r="AS86" s="27">
        <f t="shared" si="26"/>
        <v>0.32883866996678929</v>
      </c>
      <c r="AT86" s="27">
        <f t="shared" si="28"/>
        <v>27.5</v>
      </c>
      <c r="AU86" s="27" t="b">
        <f t="shared" si="27"/>
        <v>0</v>
      </c>
      <c r="AV86" s="11"/>
    </row>
    <row r="87" spans="1:48" s="30" customFormat="1">
      <c r="A87" s="25" t="s">
        <v>359</v>
      </c>
      <c r="B87" s="26" t="s">
        <v>422</v>
      </c>
      <c r="C87" s="26" t="s">
        <v>423</v>
      </c>
      <c r="D87" s="26" t="s">
        <v>344</v>
      </c>
      <c r="E87" s="25" t="s">
        <v>355</v>
      </c>
      <c r="F87" s="25">
        <v>400</v>
      </c>
      <c r="G87" s="25" t="s">
        <v>86</v>
      </c>
      <c r="H87" s="25" t="s">
        <v>180</v>
      </c>
      <c r="I87" s="50">
        <v>30.987780000000001</v>
      </c>
      <c r="J87" s="50">
        <v>35.475000000000001</v>
      </c>
      <c r="K87" s="25" t="s">
        <v>62</v>
      </c>
      <c r="L87" s="16" t="s">
        <v>362</v>
      </c>
      <c r="M87" s="25" t="s">
        <v>60</v>
      </c>
      <c r="N87" s="26" t="s">
        <v>61</v>
      </c>
      <c r="O87" s="25">
        <v>10413.17578</v>
      </c>
      <c r="P87" s="25">
        <v>11285869</v>
      </c>
      <c r="Q87" s="27">
        <v>0.30070812699999999</v>
      </c>
      <c r="R87" s="25" t="s">
        <v>64</v>
      </c>
      <c r="S87" s="28">
        <v>1997</v>
      </c>
      <c r="T87" s="39">
        <v>36.530485352095639</v>
      </c>
      <c r="U87" s="26" t="s">
        <v>66</v>
      </c>
      <c r="V87" s="26" t="s">
        <v>1160</v>
      </c>
      <c r="W87" s="26">
        <v>9125</v>
      </c>
      <c r="X87" s="16" t="s">
        <v>362</v>
      </c>
      <c r="Y87" s="26">
        <v>0.91250000000000009</v>
      </c>
      <c r="Z87" s="26" t="s">
        <v>67</v>
      </c>
      <c r="AA87" s="26">
        <v>32654.080946436301</v>
      </c>
      <c r="AB87" s="29" t="s">
        <v>89</v>
      </c>
      <c r="AC87" s="29" t="s">
        <v>70</v>
      </c>
      <c r="AD87" s="39" t="s">
        <v>70</v>
      </c>
      <c r="AE87" s="29" t="s">
        <v>70</v>
      </c>
      <c r="AF87" s="29" t="s">
        <v>70</v>
      </c>
      <c r="AG87" s="25">
        <v>9143.9733727198072</v>
      </c>
      <c r="AH87" s="25" t="s">
        <v>424</v>
      </c>
      <c r="AI87" s="25" t="s">
        <v>69</v>
      </c>
      <c r="AJ87" s="25" t="s">
        <v>424</v>
      </c>
      <c r="AK87" s="17" t="s">
        <v>362</v>
      </c>
      <c r="AL87" s="27">
        <f t="shared" si="19"/>
        <v>1.5743841808365822</v>
      </c>
      <c r="AM87" s="27">
        <f t="shared" si="20"/>
        <v>3.9602804644366421</v>
      </c>
      <c r="AN87" s="27">
        <f t="shared" si="21"/>
        <v>0.28160144382565522</v>
      </c>
      <c r="AO87" s="27">
        <f t="shared" si="22"/>
        <v>4.5139507646408594</v>
      </c>
      <c r="AP87" s="27">
        <f t="shared" si="23"/>
        <v>0.58812158710552975</v>
      </c>
      <c r="AQ87" s="27">
        <f t="shared" si="24"/>
        <v>0.19610906773124803</v>
      </c>
      <c r="AR87" s="27">
        <f t="shared" si="25"/>
        <v>4.9854345491798048E-2</v>
      </c>
      <c r="AS87" s="27">
        <f t="shared" si="26"/>
        <v>0.37193531892885723</v>
      </c>
      <c r="AT87" s="27">
        <f t="shared" si="28"/>
        <v>30.2</v>
      </c>
      <c r="AU87" s="27" t="b">
        <f t="shared" si="27"/>
        <v>0</v>
      </c>
      <c r="AV87" s="11"/>
    </row>
    <row r="88" spans="1:48" s="30" customFormat="1">
      <c r="A88" s="25" t="s">
        <v>364</v>
      </c>
      <c r="B88" s="26" t="s">
        <v>373</v>
      </c>
      <c r="C88" s="26" t="s">
        <v>374</v>
      </c>
      <c r="D88" s="26" t="s">
        <v>344</v>
      </c>
      <c r="E88" s="25" t="s">
        <v>355</v>
      </c>
      <c r="F88" s="25">
        <v>400</v>
      </c>
      <c r="G88" s="25" t="s">
        <v>86</v>
      </c>
      <c r="H88" s="25" t="s">
        <v>180</v>
      </c>
      <c r="I88" s="50">
        <v>32.073189999999997</v>
      </c>
      <c r="J88" s="50">
        <v>36.299680000000002</v>
      </c>
      <c r="K88" s="25" t="s">
        <v>62</v>
      </c>
      <c r="L88" s="16" t="s">
        <v>362</v>
      </c>
      <c r="M88" s="25" t="s">
        <v>60</v>
      </c>
      <c r="N88" s="26" t="s">
        <v>61</v>
      </c>
      <c r="O88" s="25">
        <v>10413.17578</v>
      </c>
      <c r="P88" s="25">
        <v>11285869</v>
      </c>
      <c r="Q88" s="27">
        <v>0.30070812699999999</v>
      </c>
      <c r="R88" s="25" t="s">
        <v>64</v>
      </c>
      <c r="S88" s="28">
        <v>1991</v>
      </c>
      <c r="T88" s="39">
        <v>27.39835016259309</v>
      </c>
      <c r="U88" s="26" t="s">
        <v>66</v>
      </c>
      <c r="V88" s="26" t="s">
        <v>1160</v>
      </c>
      <c r="W88" s="26">
        <v>118625</v>
      </c>
      <c r="X88" s="16" t="s">
        <v>362</v>
      </c>
      <c r="Y88" s="26">
        <v>11.862500000000001</v>
      </c>
      <c r="Z88" s="26" t="s">
        <v>67</v>
      </c>
      <c r="AA88" s="26">
        <v>128706.896249817</v>
      </c>
      <c r="AB88" s="29" t="s">
        <v>68</v>
      </c>
      <c r="AC88" s="29" t="s">
        <v>1149</v>
      </c>
      <c r="AD88" s="39">
        <v>0.83333333333333304</v>
      </c>
      <c r="AE88" s="26">
        <v>18</v>
      </c>
      <c r="AF88" s="29" t="s">
        <v>1151</v>
      </c>
      <c r="AG88" s="25">
        <v>118871.65384535756</v>
      </c>
      <c r="AH88" s="25" t="s">
        <v>375</v>
      </c>
      <c r="AI88" s="25" t="s">
        <v>69</v>
      </c>
      <c r="AJ88" s="25" t="s">
        <v>375</v>
      </c>
      <c r="AK88" s="17" t="s">
        <v>362</v>
      </c>
      <c r="AL88" s="27">
        <f t="shared" si="19"/>
        <v>1.4532931099028519</v>
      </c>
      <c r="AM88" s="27">
        <f t="shared" si="20"/>
        <v>5.0741798864903656</v>
      </c>
      <c r="AN88" s="27">
        <f t="shared" si="21"/>
        <v>1.1093253877704894</v>
      </c>
      <c r="AO88" s="27">
        <f t="shared" si="22"/>
        <v>5.1096051917569669</v>
      </c>
      <c r="AP88" s="27">
        <f t="shared" si="23"/>
        <v>0.54223702463876189</v>
      </c>
      <c r="AQ88" s="27">
        <f t="shared" si="24"/>
        <v>0.55020157169377049</v>
      </c>
      <c r="AR88" s="27">
        <f t="shared" si="25"/>
        <v>0.26135645093587362</v>
      </c>
      <c r="AS88" s="27">
        <f t="shared" si="26"/>
        <v>0.52231656473181209</v>
      </c>
      <c r="AT88" s="27">
        <f t="shared" si="28"/>
        <v>46.9</v>
      </c>
      <c r="AU88" s="27" t="b">
        <f t="shared" si="27"/>
        <v>0</v>
      </c>
      <c r="AV88" s="11"/>
    </row>
    <row r="89" spans="1:48" s="30" customFormat="1">
      <c r="A89" s="25" t="s">
        <v>368</v>
      </c>
      <c r="B89" s="26" t="s">
        <v>381</v>
      </c>
      <c r="C89" s="26" t="s">
        <v>382</v>
      </c>
      <c r="D89" s="26" t="s">
        <v>344</v>
      </c>
      <c r="E89" s="25" t="s">
        <v>355</v>
      </c>
      <c r="F89" s="25">
        <v>400</v>
      </c>
      <c r="G89" s="25" t="s">
        <v>86</v>
      </c>
      <c r="H89" s="25" t="s">
        <v>180</v>
      </c>
      <c r="I89" s="50">
        <v>29.41235</v>
      </c>
      <c r="J89" s="50">
        <v>35.039450000000002</v>
      </c>
      <c r="K89" s="25" t="s">
        <v>62</v>
      </c>
      <c r="L89" s="16" t="s">
        <v>362</v>
      </c>
      <c r="M89" s="25" t="s">
        <v>60</v>
      </c>
      <c r="N89" s="26" t="s">
        <v>61</v>
      </c>
      <c r="O89" s="25">
        <v>10413.17578</v>
      </c>
      <c r="P89" s="25">
        <v>11285869</v>
      </c>
      <c r="Q89" s="27">
        <v>0.30070812699999999</v>
      </c>
      <c r="R89" s="25" t="s">
        <v>64</v>
      </c>
      <c r="S89" s="28">
        <v>2000</v>
      </c>
      <c r="T89" s="39">
        <v>0.33903723015724679</v>
      </c>
      <c r="U89" s="26" t="s">
        <v>66</v>
      </c>
      <c r="V89" s="26" t="s">
        <v>1160</v>
      </c>
      <c r="W89" s="26">
        <v>75190</v>
      </c>
      <c r="X89" s="16" t="s">
        <v>362</v>
      </c>
      <c r="Y89" s="26">
        <v>7.5190000000000001</v>
      </c>
      <c r="Z89" s="26" t="s">
        <v>67</v>
      </c>
      <c r="AA89" s="26">
        <v>27902.603988135801</v>
      </c>
      <c r="AB89" s="29" t="s">
        <v>89</v>
      </c>
      <c r="AC89" s="29" t="s">
        <v>70</v>
      </c>
      <c r="AD89" s="39" t="s">
        <v>70</v>
      </c>
      <c r="AE89" s="29" t="s">
        <v>70</v>
      </c>
      <c r="AF89" s="29" t="s">
        <v>70</v>
      </c>
      <c r="AG89" s="25">
        <v>75346.340591211294</v>
      </c>
      <c r="AH89" s="25" t="s">
        <v>383</v>
      </c>
      <c r="AI89" s="25" t="s">
        <v>69</v>
      </c>
      <c r="AJ89" s="25" t="s">
        <v>383</v>
      </c>
      <c r="AK89" s="17" t="s">
        <v>362</v>
      </c>
      <c r="AL89" s="27">
        <f t="shared" si="19"/>
        <v>0.12679265216292299</v>
      </c>
      <c r="AM89" s="27">
        <f t="shared" si="20"/>
        <v>4.8761658607478777</v>
      </c>
      <c r="AN89" s="27">
        <f t="shared" si="21"/>
        <v>0.93038861824432184</v>
      </c>
      <c r="AO89" s="27">
        <f t="shared" si="22"/>
        <v>4.4456602997279671</v>
      </c>
      <c r="AP89" s="27">
        <f t="shared" si="23"/>
        <v>3.9591431978390927E-2</v>
      </c>
      <c r="AQ89" s="27">
        <f t="shared" si="24"/>
        <v>0.4872557789169113</v>
      </c>
      <c r="AR89" s="27">
        <f t="shared" si="25"/>
        <v>0.2156340772229923</v>
      </c>
      <c r="AS89" s="27">
        <f t="shared" si="26"/>
        <v>0.35469444112696702</v>
      </c>
      <c r="AT89" s="27">
        <f t="shared" si="28"/>
        <v>27.4</v>
      </c>
      <c r="AU89" s="27" t="b">
        <f t="shared" si="27"/>
        <v>0</v>
      </c>
      <c r="AV89" s="11"/>
    </row>
    <row r="90" spans="1:48" s="30" customFormat="1">
      <c r="A90" s="25" t="s">
        <v>372</v>
      </c>
      <c r="B90" s="26" t="s">
        <v>410</v>
      </c>
      <c r="C90" s="26" t="s">
        <v>411</v>
      </c>
      <c r="D90" s="26" t="s">
        <v>344</v>
      </c>
      <c r="E90" s="25" t="s">
        <v>355</v>
      </c>
      <c r="F90" s="25">
        <v>400</v>
      </c>
      <c r="G90" s="25" t="s">
        <v>86</v>
      </c>
      <c r="H90" s="25" t="s">
        <v>180</v>
      </c>
      <c r="I90" s="50">
        <v>32.12576</v>
      </c>
      <c r="J90" s="50">
        <v>36.68618</v>
      </c>
      <c r="K90" s="25" t="s">
        <v>62</v>
      </c>
      <c r="L90" s="16" t="s">
        <v>362</v>
      </c>
      <c r="M90" s="25" t="s">
        <v>60</v>
      </c>
      <c r="N90" s="26" t="s">
        <v>61</v>
      </c>
      <c r="O90" s="25">
        <v>10413.17578</v>
      </c>
      <c r="P90" s="25">
        <v>11285869</v>
      </c>
      <c r="Q90" s="27">
        <v>0.30070812699999999</v>
      </c>
      <c r="R90" s="25" t="s">
        <v>64</v>
      </c>
      <c r="S90" s="28">
        <v>2002</v>
      </c>
      <c r="T90" s="39">
        <v>28.07983711681068</v>
      </c>
      <c r="U90" s="26" t="s">
        <v>66</v>
      </c>
      <c r="V90" s="26" t="s">
        <v>1160</v>
      </c>
      <c r="W90" s="26">
        <v>19162.5</v>
      </c>
      <c r="X90" s="16" t="s">
        <v>362</v>
      </c>
      <c r="Y90" s="26">
        <v>1.91625</v>
      </c>
      <c r="Z90" s="26" t="s">
        <v>67</v>
      </c>
      <c r="AA90" s="26">
        <v>6051.4153182592099</v>
      </c>
      <c r="AB90" s="29" t="s">
        <v>68</v>
      </c>
      <c r="AC90" s="29" t="s">
        <v>1149</v>
      </c>
      <c r="AD90" s="39">
        <v>0.6</v>
      </c>
      <c r="AE90" s="26">
        <v>5</v>
      </c>
      <c r="AF90" s="29" t="s">
        <v>1151</v>
      </c>
      <c r="AG90" s="25">
        <v>19202.344082711599</v>
      </c>
      <c r="AH90" s="25" t="s">
        <v>412</v>
      </c>
      <c r="AI90" s="25" t="s">
        <v>69</v>
      </c>
      <c r="AJ90" s="25" t="s">
        <v>412</v>
      </c>
      <c r="AK90" s="17" t="s">
        <v>362</v>
      </c>
      <c r="AL90" s="27">
        <f t="shared" si="19"/>
        <v>1.4635919696055548</v>
      </c>
      <c r="AM90" s="27">
        <f t="shared" si="20"/>
        <v>4.2824748310405356</v>
      </c>
      <c r="AN90" s="27">
        <f t="shared" si="21"/>
        <v>0.46482475180180899</v>
      </c>
      <c r="AO90" s="27">
        <f t="shared" si="22"/>
        <v>3.7819287217701074</v>
      </c>
      <c r="AP90" s="27">
        <f t="shared" si="23"/>
        <v>0.54613953097321966</v>
      </c>
      <c r="AQ90" s="27">
        <f t="shared" si="24"/>
        <v>0.29852999351200421</v>
      </c>
      <c r="AR90" s="27">
        <f t="shared" si="25"/>
        <v>9.667202629815097E-2</v>
      </c>
      <c r="AS90" s="27">
        <f t="shared" si="26"/>
        <v>0.18712617162662451</v>
      </c>
      <c r="AT90" s="27">
        <f t="shared" si="28"/>
        <v>28.2</v>
      </c>
      <c r="AU90" s="27" t="b">
        <f t="shared" si="27"/>
        <v>0</v>
      </c>
      <c r="AV90" s="11"/>
    </row>
    <row r="91" spans="1:48" s="30" customFormat="1">
      <c r="A91" s="25" t="s">
        <v>376</v>
      </c>
      <c r="B91" s="26" t="s">
        <v>360</v>
      </c>
      <c r="C91" s="26" t="s">
        <v>361</v>
      </c>
      <c r="D91" s="26" t="s">
        <v>344</v>
      </c>
      <c r="E91" s="25" t="s">
        <v>355</v>
      </c>
      <c r="F91" s="25">
        <v>400</v>
      </c>
      <c r="G91" s="25" t="s">
        <v>86</v>
      </c>
      <c r="H91" s="25" t="s">
        <v>180</v>
      </c>
      <c r="I91" s="50">
        <v>31.228449999999999</v>
      </c>
      <c r="J91" s="50">
        <v>35.935630000000003</v>
      </c>
      <c r="K91" s="25" t="s">
        <v>62</v>
      </c>
      <c r="L91" s="16" t="s">
        <v>362</v>
      </c>
      <c r="M91" s="25" t="s">
        <v>60</v>
      </c>
      <c r="N91" s="26" t="s">
        <v>61</v>
      </c>
      <c r="O91" s="25">
        <v>10413.17578</v>
      </c>
      <c r="P91" s="25">
        <v>11285869</v>
      </c>
      <c r="Q91" s="27">
        <v>0.30070812699999999</v>
      </c>
      <c r="R91" s="25" t="s">
        <v>64</v>
      </c>
      <c r="S91" s="28">
        <v>1995</v>
      </c>
      <c r="T91" s="39">
        <v>39.261269791994899</v>
      </c>
      <c r="U91" s="26" t="s">
        <v>66</v>
      </c>
      <c r="V91" s="26" t="s">
        <v>1160</v>
      </c>
      <c r="W91" s="26">
        <v>255500</v>
      </c>
      <c r="X91" s="16" t="s">
        <v>362</v>
      </c>
      <c r="Y91" s="26">
        <v>25.55</v>
      </c>
      <c r="Z91" s="26" t="s">
        <v>67</v>
      </c>
      <c r="AA91" s="26">
        <v>4058.0693119575899</v>
      </c>
      <c r="AB91" s="29" t="s">
        <v>68</v>
      </c>
      <c r="AC91" s="29" t="s">
        <v>1149</v>
      </c>
      <c r="AD91" s="39">
        <v>1</v>
      </c>
      <c r="AE91" s="26">
        <v>2</v>
      </c>
      <c r="AF91" s="29" t="s">
        <v>1151</v>
      </c>
      <c r="AG91" s="25">
        <v>256031.25443615465</v>
      </c>
      <c r="AH91" s="25" t="s">
        <v>363</v>
      </c>
      <c r="AI91" s="25" t="s">
        <v>69</v>
      </c>
      <c r="AJ91" s="25" t="s">
        <v>363</v>
      </c>
      <c r="AK91" s="17" t="s">
        <v>362</v>
      </c>
      <c r="AL91" s="27">
        <f t="shared" si="19"/>
        <v>1.6048874678939224</v>
      </c>
      <c r="AM91" s="27">
        <f t="shared" si="20"/>
        <v>5.4073926042501128</v>
      </c>
      <c r="AN91" s="27">
        <f t="shared" si="21"/>
        <v>1.424064525417488</v>
      </c>
      <c r="AO91" s="27">
        <f t="shared" si="22"/>
        <v>3.6084264673172122</v>
      </c>
      <c r="AP91" s="27">
        <f t="shared" si="23"/>
        <v>0.59968007750149177</v>
      </c>
      <c r="AQ91" s="27">
        <f t="shared" si="24"/>
        <v>0.65612507183004731</v>
      </c>
      <c r="AR91" s="27">
        <f t="shared" si="25"/>
        <v>0.34177938755014836</v>
      </c>
      <c r="AS91" s="27">
        <f t="shared" si="26"/>
        <v>0.14332311403739281</v>
      </c>
      <c r="AT91" s="27">
        <f t="shared" si="28"/>
        <v>43.5</v>
      </c>
      <c r="AU91" s="27" t="b">
        <f t="shared" si="27"/>
        <v>0</v>
      </c>
      <c r="AV91" s="11"/>
    </row>
    <row r="92" spans="1:48" s="30" customFormat="1">
      <c r="A92" s="25" t="s">
        <v>380</v>
      </c>
      <c r="B92" s="26" t="s">
        <v>406</v>
      </c>
      <c r="C92" s="26" t="s">
        <v>407</v>
      </c>
      <c r="D92" s="26" t="s">
        <v>344</v>
      </c>
      <c r="E92" s="25" t="s">
        <v>355</v>
      </c>
      <c r="F92" s="25">
        <v>400</v>
      </c>
      <c r="G92" s="25" t="s">
        <v>86</v>
      </c>
      <c r="H92" s="25" t="s">
        <v>180</v>
      </c>
      <c r="I92" s="50">
        <v>30.181629999999998</v>
      </c>
      <c r="J92" s="50">
        <v>35.849690000000002</v>
      </c>
      <c r="K92" s="25" t="s">
        <v>62</v>
      </c>
      <c r="L92" s="16" t="s">
        <v>362</v>
      </c>
      <c r="M92" s="25" t="s">
        <v>60</v>
      </c>
      <c r="N92" s="26" t="s">
        <v>61</v>
      </c>
      <c r="O92" s="25">
        <v>10413.17578</v>
      </c>
      <c r="P92" s="25">
        <v>11285869</v>
      </c>
      <c r="Q92" s="27">
        <v>0.30070812699999999</v>
      </c>
      <c r="R92" s="25" t="s">
        <v>64</v>
      </c>
      <c r="S92" s="28">
        <v>1993</v>
      </c>
      <c r="T92" s="39">
        <v>49.463103774416261</v>
      </c>
      <c r="U92" s="26" t="s">
        <v>66</v>
      </c>
      <c r="V92" s="26" t="s">
        <v>1160</v>
      </c>
      <c r="W92" s="26">
        <v>24637.5</v>
      </c>
      <c r="X92" s="16" t="s">
        <v>362</v>
      </c>
      <c r="Y92" s="26">
        <v>2.4637500000000001</v>
      </c>
      <c r="Z92" s="26" t="s">
        <v>67</v>
      </c>
      <c r="AA92" s="26">
        <v>3331.1276585136702</v>
      </c>
      <c r="AB92" s="29" t="s">
        <v>89</v>
      </c>
      <c r="AC92" s="29" t="s">
        <v>70</v>
      </c>
      <c r="AD92" s="39" t="s">
        <v>70</v>
      </c>
      <c r="AE92" s="29" t="s">
        <v>70</v>
      </c>
      <c r="AF92" s="29" t="s">
        <v>70</v>
      </c>
      <c r="AG92" s="25">
        <v>24688.728106343493</v>
      </c>
      <c r="AH92" s="25" t="s">
        <v>408</v>
      </c>
      <c r="AI92" s="25" t="s">
        <v>69</v>
      </c>
      <c r="AJ92" s="25" t="s">
        <v>408</v>
      </c>
      <c r="AK92" s="17" t="s">
        <v>362</v>
      </c>
      <c r="AL92" s="27">
        <f t="shared" si="19"/>
        <v>1.7029739586398942</v>
      </c>
      <c r="AM92" s="27">
        <f t="shared" si="20"/>
        <v>4.3916142643060061</v>
      </c>
      <c r="AN92" s="27">
        <f t="shared" si="21"/>
        <v>0.53954653879028813</v>
      </c>
      <c r="AO92" s="27">
        <f t="shared" si="22"/>
        <v>3.5227216314880581</v>
      </c>
      <c r="AP92" s="27">
        <f t="shared" si="23"/>
        <v>0.63684760502499238</v>
      </c>
      <c r="AQ92" s="27">
        <f t="shared" si="24"/>
        <v>0.33322383968957875</v>
      </c>
      <c r="AR92" s="27">
        <f t="shared" si="25"/>
        <v>0.11576512537571053</v>
      </c>
      <c r="AS92" s="27">
        <f t="shared" si="26"/>
        <v>0.12168573606015558</v>
      </c>
      <c r="AT92" s="27">
        <f t="shared" si="28"/>
        <v>30.2</v>
      </c>
      <c r="AU92" s="27" t="b">
        <f t="shared" si="27"/>
        <v>0</v>
      </c>
      <c r="AV92" s="11"/>
    </row>
    <row r="93" spans="1:48" s="30" customFormat="1">
      <c r="A93" s="25" t="s">
        <v>384</v>
      </c>
      <c r="B93" s="26" t="s">
        <v>365</v>
      </c>
      <c r="C93" s="26" t="s">
        <v>366</v>
      </c>
      <c r="D93" s="26" t="s">
        <v>344</v>
      </c>
      <c r="E93" s="25" t="s">
        <v>355</v>
      </c>
      <c r="F93" s="25">
        <v>400</v>
      </c>
      <c r="G93" s="25" t="s">
        <v>86</v>
      </c>
      <c r="H93" s="25" t="s">
        <v>180</v>
      </c>
      <c r="I93" s="50">
        <v>31.688079999999999</v>
      </c>
      <c r="J93" s="50">
        <v>35.81561</v>
      </c>
      <c r="K93" s="25" t="s">
        <v>62</v>
      </c>
      <c r="L93" s="16" t="s">
        <v>362</v>
      </c>
      <c r="M93" s="25" t="s">
        <v>60</v>
      </c>
      <c r="N93" s="26" t="s">
        <v>61</v>
      </c>
      <c r="O93" s="25">
        <v>10413.17578</v>
      </c>
      <c r="P93" s="25">
        <v>11285869</v>
      </c>
      <c r="Q93" s="27">
        <v>0.30070812699999999</v>
      </c>
      <c r="R93" s="25" t="s">
        <v>64</v>
      </c>
      <c r="S93" s="28">
        <v>1974</v>
      </c>
      <c r="T93" s="39">
        <v>20.416427581033112</v>
      </c>
      <c r="U93" s="26" t="s">
        <v>66</v>
      </c>
      <c r="V93" s="26" t="s">
        <v>1159</v>
      </c>
      <c r="W93" s="26">
        <v>146000</v>
      </c>
      <c r="X93" s="16" t="s">
        <v>362</v>
      </c>
      <c r="Y93" s="26">
        <v>14.600000000000001</v>
      </c>
      <c r="Z93" s="26" t="s">
        <v>67</v>
      </c>
      <c r="AA93" s="26">
        <v>179572.18973940299</v>
      </c>
      <c r="AB93" s="29" t="s">
        <v>68</v>
      </c>
      <c r="AC93" s="29" t="s">
        <v>1149</v>
      </c>
      <c r="AD93" s="39">
        <v>1</v>
      </c>
      <c r="AE93" s="26">
        <v>1</v>
      </c>
      <c r="AF93" s="29" t="s">
        <v>1151</v>
      </c>
      <c r="AG93" s="25">
        <v>146303.57396351694</v>
      </c>
      <c r="AH93" s="25" t="s">
        <v>367</v>
      </c>
      <c r="AI93" s="25" t="s">
        <v>69</v>
      </c>
      <c r="AJ93" s="25" t="s">
        <v>367</v>
      </c>
      <c r="AK93" s="17" t="s">
        <v>362</v>
      </c>
      <c r="AL93" s="27">
        <f t="shared" si="19"/>
        <v>1.3307470289964665</v>
      </c>
      <c r="AM93" s="27">
        <f t="shared" si="20"/>
        <v>5.1643558303939887</v>
      </c>
      <c r="AN93" s="27">
        <f t="shared" si="21"/>
        <v>1.1931245983544616</v>
      </c>
      <c r="AO93" s="27">
        <f t="shared" si="22"/>
        <v>5.2542414970451903</v>
      </c>
      <c r="AP93" s="27">
        <f t="shared" si="23"/>
        <v>0.49580112097511425</v>
      </c>
      <c r="AQ93" s="27">
        <f t="shared" si="24"/>
        <v>0.57886719907613027</v>
      </c>
      <c r="AR93" s="27">
        <f t="shared" si="25"/>
        <v>0.28276903613739923</v>
      </c>
      <c r="AS93" s="27">
        <f t="shared" si="26"/>
        <v>0.55883201192304044</v>
      </c>
      <c r="AT93" s="27">
        <f t="shared" si="28"/>
        <v>47.9</v>
      </c>
      <c r="AU93" s="27" t="b">
        <f t="shared" si="27"/>
        <v>0</v>
      </c>
      <c r="AV93" s="11"/>
    </row>
    <row r="94" spans="1:48" s="30" customFormat="1">
      <c r="A94" s="25" t="s">
        <v>389</v>
      </c>
      <c r="B94" s="26" t="s">
        <v>394</v>
      </c>
      <c r="C94" s="26" t="s">
        <v>395</v>
      </c>
      <c r="D94" s="26" t="s">
        <v>344</v>
      </c>
      <c r="E94" s="25" t="s">
        <v>355</v>
      </c>
      <c r="F94" s="25">
        <v>400</v>
      </c>
      <c r="G94" s="25" t="s">
        <v>86</v>
      </c>
      <c r="H94" s="25" t="s">
        <v>180</v>
      </c>
      <c r="I94" s="50">
        <v>32.255928480000001</v>
      </c>
      <c r="J94" s="50">
        <v>36.349201880000003</v>
      </c>
      <c r="K94" s="25" t="s">
        <v>62</v>
      </c>
      <c r="L94" s="16" t="s">
        <v>396</v>
      </c>
      <c r="M94" s="25" t="s">
        <v>60</v>
      </c>
      <c r="N94" s="26" t="s">
        <v>61</v>
      </c>
      <c r="O94" s="25">
        <v>10413.17578</v>
      </c>
      <c r="P94" s="25">
        <v>11285869</v>
      </c>
      <c r="Q94" s="27">
        <v>0.30070812699999999</v>
      </c>
      <c r="R94" s="25" t="s">
        <v>64</v>
      </c>
      <c r="S94" s="28">
        <v>1986</v>
      </c>
      <c r="T94" s="39">
        <v>1.522413061541831</v>
      </c>
      <c r="U94" s="26" t="s">
        <v>845</v>
      </c>
      <c r="V94" s="26" t="s">
        <v>1160</v>
      </c>
      <c r="W94" s="26">
        <v>54750</v>
      </c>
      <c r="X94" s="16" t="s">
        <v>397</v>
      </c>
      <c r="Y94" s="26">
        <v>30</v>
      </c>
      <c r="Z94" s="26" t="s">
        <v>101</v>
      </c>
      <c r="AA94" s="26">
        <v>71796.747320092807</v>
      </c>
      <c r="AB94" s="29" t="s">
        <v>68</v>
      </c>
      <c r="AC94" s="29" t="s">
        <v>1149</v>
      </c>
      <c r="AD94" s="39">
        <v>1</v>
      </c>
      <c r="AE94" s="26">
        <v>1</v>
      </c>
      <c r="AF94" s="29" t="s">
        <v>1151</v>
      </c>
      <c r="AG94" s="25">
        <v>54863.840236318872</v>
      </c>
      <c r="AH94" s="25" t="s">
        <v>398</v>
      </c>
      <c r="AI94" s="25" t="s">
        <v>69</v>
      </c>
      <c r="AJ94" s="25" t="s">
        <v>399</v>
      </c>
      <c r="AK94" s="17" t="s">
        <v>400</v>
      </c>
      <c r="AL94" s="27">
        <f t="shared" si="19"/>
        <v>0.40181620660634665</v>
      </c>
      <c r="AM94" s="27">
        <f t="shared" si="20"/>
        <v>4.7383920557590198</v>
      </c>
      <c r="AN94" s="27">
        <f t="shared" si="21"/>
        <v>1.4913616938342726</v>
      </c>
      <c r="AO94" s="27">
        <f t="shared" si="22"/>
        <v>4.8561108183119286</v>
      </c>
      <c r="AP94" s="27">
        <f t="shared" si="23"/>
        <v>0.14380502399954004</v>
      </c>
      <c r="AQ94" s="27">
        <f t="shared" si="24"/>
        <v>0.44345948041537919</v>
      </c>
      <c r="AR94" s="27">
        <f t="shared" si="25"/>
        <v>0.35897532940334564</v>
      </c>
      <c r="AS94" s="27">
        <f t="shared" si="26"/>
        <v>0.45831838399593106</v>
      </c>
      <c r="AT94" s="27">
        <f t="shared" si="28"/>
        <v>35.1</v>
      </c>
      <c r="AU94" s="27" t="b">
        <f t="shared" si="27"/>
        <v>0</v>
      </c>
      <c r="AV94" s="11"/>
    </row>
    <row r="95" spans="1:48" s="30" customFormat="1">
      <c r="A95" s="25" t="s">
        <v>393</v>
      </c>
      <c r="B95" s="26" t="s">
        <v>414</v>
      </c>
      <c r="C95" s="26" t="s">
        <v>415</v>
      </c>
      <c r="D95" s="26" t="s">
        <v>344</v>
      </c>
      <c r="E95" s="25" t="s">
        <v>355</v>
      </c>
      <c r="F95" s="25">
        <v>400</v>
      </c>
      <c r="G95" s="25" t="s">
        <v>86</v>
      </c>
      <c r="H95" s="25" t="s">
        <v>180</v>
      </c>
      <c r="I95" s="50">
        <v>30.224519999999998</v>
      </c>
      <c r="J95" s="50">
        <v>35.596339999999998</v>
      </c>
      <c r="K95" s="25" t="s">
        <v>62</v>
      </c>
      <c r="L95" s="16" t="s">
        <v>362</v>
      </c>
      <c r="M95" s="25" t="s">
        <v>60</v>
      </c>
      <c r="N95" s="26" t="s">
        <v>61</v>
      </c>
      <c r="O95" s="25">
        <v>10413.17578</v>
      </c>
      <c r="P95" s="25">
        <v>11285869</v>
      </c>
      <c r="Q95" s="27">
        <v>0.30070812699999999</v>
      </c>
      <c r="R95" s="25" t="s">
        <v>64</v>
      </c>
      <c r="S95" s="28">
        <v>1984</v>
      </c>
      <c r="T95" s="39">
        <v>21.515200243988211</v>
      </c>
      <c r="U95" s="26" t="s">
        <v>66</v>
      </c>
      <c r="V95" s="26" t="s">
        <v>1160</v>
      </c>
      <c r="W95" s="26">
        <v>15330</v>
      </c>
      <c r="X95" s="16" t="s">
        <v>362</v>
      </c>
      <c r="Y95" s="26">
        <v>1.5330000000000001</v>
      </c>
      <c r="Z95" s="26" t="s">
        <v>67</v>
      </c>
      <c r="AA95" s="26">
        <v>12617.664136085699</v>
      </c>
      <c r="AB95" s="29" t="s">
        <v>89</v>
      </c>
      <c r="AC95" s="29" t="s">
        <v>70</v>
      </c>
      <c r="AD95" s="39" t="s">
        <v>70</v>
      </c>
      <c r="AE95" s="29" t="s">
        <v>70</v>
      </c>
      <c r="AF95" s="29" t="s">
        <v>70</v>
      </c>
      <c r="AG95" s="25">
        <v>15361.875266169274</v>
      </c>
      <c r="AH95" s="25" t="s">
        <v>416</v>
      </c>
      <c r="AI95" s="25" t="s">
        <v>69</v>
      </c>
      <c r="AJ95" s="25" t="s">
        <v>416</v>
      </c>
      <c r="AK95" s="17" t="s">
        <v>362</v>
      </c>
      <c r="AL95" s="27">
        <f t="shared" si="19"/>
        <v>1.3524758138116051</v>
      </c>
      <c r="AM95" s="27">
        <f t="shared" si="20"/>
        <v>4.1855704836422198</v>
      </c>
      <c r="AN95" s="27">
        <f t="shared" si="21"/>
        <v>0.40363518979054802</v>
      </c>
      <c r="AO95" s="27">
        <f t="shared" si="22"/>
        <v>4.1010133811335949</v>
      </c>
      <c r="AP95" s="27">
        <f t="shared" si="23"/>
        <v>0.50403472380387127</v>
      </c>
      <c r="AQ95" s="27">
        <f t="shared" si="24"/>
        <v>0.26772550404395162</v>
      </c>
      <c r="AR95" s="27">
        <f t="shared" si="25"/>
        <v>8.1036715405845727E-2</v>
      </c>
      <c r="AS95" s="27">
        <f t="shared" si="26"/>
        <v>0.26768353241719484</v>
      </c>
      <c r="AT95" s="27">
        <f t="shared" si="28"/>
        <v>28</v>
      </c>
      <c r="AU95" s="27" t="b">
        <f t="shared" si="27"/>
        <v>0</v>
      </c>
      <c r="AV95" s="11"/>
    </row>
    <row r="96" spans="1:48" s="30" customFormat="1">
      <c r="A96" s="25" t="s">
        <v>401</v>
      </c>
      <c r="B96" s="26" t="s">
        <v>377</v>
      </c>
      <c r="C96" s="26" t="s">
        <v>378</v>
      </c>
      <c r="D96" s="26" t="s">
        <v>344</v>
      </c>
      <c r="E96" s="25" t="s">
        <v>355</v>
      </c>
      <c r="F96" s="25">
        <v>400</v>
      </c>
      <c r="G96" s="25" t="s">
        <v>86</v>
      </c>
      <c r="H96" s="25" t="s">
        <v>180</v>
      </c>
      <c r="I96" s="50">
        <v>32.122480000000003</v>
      </c>
      <c r="J96" s="50">
        <v>35.564030000000002</v>
      </c>
      <c r="K96" s="25" t="s">
        <v>62</v>
      </c>
      <c r="L96" s="16" t="s">
        <v>362</v>
      </c>
      <c r="M96" s="25" t="s">
        <v>60</v>
      </c>
      <c r="N96" s="26" t="s">
        <v>61</v>
      </c>
      <c r="O96" s="25">
        <v>10413.17578</v>
      </c>
      <c r="P96" s="25">
        <v>11285869</v>
      </c>
      <c r="Q96" s="27">
        <v>0.30070812699999999</v>
      </c>
      <c r="R96" s="25" t="s">
        <v>64</v>
      </c>
      <c r="S96" s="28">
        <v>1998</v>
      </c>
      <c r="T96" s="39">
        <v>332.81984960487182</v>
      </c>
      <c r="U96" s="26" t="s">
        <v>66</v>
      </c>
      <c r="V96" s="26" t="s">
        <v>1160</v>
      </c>
      <c r="W96" s="26">
        <v>105850</v>
      </c>
      <c r="X96" s="16" t="s">
        <v>362</v>
      </c>
      <c r="Y96" s="26">
        <v>10.585000000000001</v>
      </c>
      <c r="Z96" s="26" t="s">
        <v>67</v>
      </c>
      <c r="AA96" s="26">
        <v>51956.7177700869</v>
      </c>
      <c r="AB96" s="29" t="s">
        <v>68</v>
      </c>
      <c r="AC96" s="29" t="s">
        <v>1149</v>
      </c>
      <c r="AD96" s="39">
        <v>1</v>
      </c>
      <c r="AE96" s="26">
        <v>2</v>
      </c>
      <c r="AF96" s="29" t="s">
        <v>1151</v>
      </c>
      <c r="AG96" s="25">
        <v>106070.09112354984</v>
      </c>
      <c r="AH96" s="25" t="s">
        <v>379</v>
      </c>
      <c r="AI96" s="25" t="s">
        <v>69</v>
      </c>
      <c r="AJ96" s="25" t="s">
        <v>379</v>
      </c>
      <c r="AK96" s="17" t="s">
        <v>362</v>
      </c>
      <c r="AL96" s="27">
        <f t="shared" si="19"/>
        <v>2.5235121571411918</v>
      </c>
      <c r="AM96" s="27">
        <f t="shared" si="20"/>
        <v>5.0246949652598278</v>
      </c>
      <c r="AN96" s="27">
        <f t="shared" si="21"/>
        <v>1.0638960381259943</v>
      </c>
      <c r="AO96" s="27">
        <f t="shared" si="22"/>
        <v>4.7156500665421452</v>
      </c>
      <c r="AP96" s="27">
        <f t="shared" si="23"/>
        <v>0.94777091204658714</v>
      </c>
      <c r="AQ96" s="27">
        <f t="shared" si="24"/>
        <v>0.53447103146725428</v>
      </c>
      <c r="AR96" s="27">
        <f t="shared" si="25"/>
        <v>0.24974822917419151</v>
      </c>
      <c r="AS96" s="27">
        <f t="shared" si="26"/>
        <v>0.42285711337325455</v>
      </c>
      <c r="AT96" s="27">
        <f t="shared" si="28"/>
        <v>53.9</v>
      </c>
      <c r="AU96" s="27" t="b">
        <f t="shared" si="27"/>
        <v>0</v>
      </c>
      <c r="AV96" s="11"/>
    </row>
    <row r="97" spans="1:48" s="30" customFormat="1">
      <c r="A97" s="25" t="s">
        <v>405</v>
      </c>
      <c r="B97" s="26" t="s">
        <v>418</v>
      </c>
      <c r="C97" s="26" t="s">
        <v>419</v>
      </c>
      <c r="D97" s="26" t="s">
        <v>344</v>
      </c>
      <c r="E97" s="25" t="s">
        <v>355</v>
      </c>
      <c r="F97" s="25">
        <v>400</v>
      </c>
      <c r="G97" s="25" t="s">
        <v>86</v>
      </c>
      <c r="H97" s="25" t="s">
        <v>180</v>
      </c>
      <c r="I97" s="50">
        <v>29.763190000000002</v>
      </c>
      <c r="J97" s="50">
        <v>35.26596</v>
      </c>
      <c r="K97" s="25" t="s">
        <v>62</v>
      </c>
      <c r="L97" s="16" t="s">
        <v>362</v>
      </c>
      <c r="M97" s="25" t="s">
        <v>60</v>
      </c>
      <c r="N97" s="26" t="s">
        <v>61</v>
      </c>
      <c r="O97" s="25">
        <v>10413.17578</v>
      </c>
      <c r="P97" s="25">
        <v>11285869</v>
      </c>
      <c r="Q97" s="27">
        <v>0.30070812699999999</v>
      </c>
      <c r="R97" s="25" t="s">
        <v>64</v>
      </c>
      <c r="S97" s="28">
        <v>1997</v>
      </c>
      <c r="T97" s="39">
        <v>9.4095852892183238</v>
      </c>
      <c r="U97" s="26" t="s">
        <v>66</v>
      </c>
      <c r="V97" s="26" t="s">
        <v>1160</v>
      </c>
      <c r="W97" s="26">
        <v>13140</v>
      </c>
      <c r="X97" s="16" t="s">
        <v>362</v>
      </c>
      <c r="Y97" s="26">
        <v>1.3140000000000001</v>
      </c>
      <c r="Z97" s="26" t="s">
        <v>67</v>
      </c>
      <c r="AA97" s="26">
        <v>20201.4792607772</v>
      </c>
      <c r="AB97" s="29" t="s">
        <v>89</v>
      </c>
      <c r="AC97" s="29" t="s">
        <v>70</v>
      </c>
      <c r="AD97" s="39" t="s">
        <v>70</v>
      </c>
      <c r="AE97" s="29" t="s">
        <v>70</v>
      </c>
      <c r="AF97" s="29" t="s">
        <v>70</v>
      </c>
      <c r="AG97" s="25">
        <v>13167.321656716531</v>
      </c>
      <c r="AH97" s="25" t="s">
        <v>420</v>
      </c>
      <c r="AI97" s="25" t="s">
        <v>69</v>
      </c>
      <c r="AJ97" s="25" t="s">
        <v>420</v>
      </c>
      <c r="AK97" s="17" t="s">
        <v>362</v>
      </c>
      <c r="AL97" s="27">
        <f t="shared" si="19"/>
        <v>1.0174334278590778</v>
      </c>
      <c r="AM97" s="27">
        <f t="shared" si="20"/>
        <v>4.1186284152965991</v>
      </c>
      <c r="AN97" s="27">
        <f t="shared" si="21"/>
        <v>0.36436335461573077</v>
      </c>
      <c r="AO97" s="27">
        <f t="shared" si="22"/>
        <v>4.3054046696052177</v>
      </c>
      <c r="AP97" s="27">
        <f t="shared" si="23"/>
        <v>0.37707843240508576</v>
      </c>
      <c r="AQ97" s="27">
        <f t="shared" si="24"/>
        <v>0.24644558942003691</v>
      </c>
      <c r="AR97" s="27">
        <f t="shared" si="25"/>
        <v>7.1001877239221259E-2</v>
      </c>
      <c r="AS97" s="27">
        <f t="shared" si="26"/>
        <v>0.3192849563173692</v>
      </c>
      <c r="AT97" s="27">
        <f t="shared" si="28"/>
        <v>25.3</v>
      </c>
      <c r="AU97" s="27" t="b">
        <f t="shared" si="27"/>
        <v>0</v>
      </c>
      <c r="AV97" s="11"/>
    </row>
    <row r="98" spans="1:48" s="30" customFormat="1" ht="13.5" customHeight="1">
      <c r="A98" s="25" t="s">
        <v>409</v>
      </c>
      <c r="B98" s="26" t="s">
        <v>402</v>
      </c>
      <c r="C98" s="26" t="s">
        <v>403</v>
      </c>
      <c r="D98" s="26" t="s">
        <v>344</v>
      </c>
      <c r="E98" s="25" t="s">
        <v>355</v>
      </c>
      <c r="F98" s="25">
        <v>400</v>
      </c>
      <c r="G98" s="25" t="s">
        <v>86</v>
      </c>
      <c r="H98" s="25" t="s">
        <v>180</v>
      </c>
      <c r="I98" s="50">
        <v>30.744859999999999</v>
      </c>
      <c r="J98" s="50">
        <v>35.818359999999998</v>
      </c>
      <c r="K98" s="25" t="s">
        <v>62</v>
      </c>
      <c r="L98" s="16" t="s">
        <v>362</v>
      </c>
      <c r="M98" s="25" t="s">
        <v>60</v>
      </c>
      <c r="N98" s="26" t="s">
        <v>61</v>
      </c>
      <c r="O98" s="25">
        <v>10413.17578</v>
      </c>
      <c r="P98" s="25">
        <v>11285869</v>
      </c>
      <c r="Q98" s="27">
        <v>0.30070812699999999</v>
      </c>
      <c r="R98" s="25" t="s">
        <v>64</v>
      </c>
      <c r="S98" s="28">
        <v>1985</v>
      </c>
      <c r="T98" s="39">
        <v>44.245604498010408</v>
      </c>
      <c r="U98" s="26" t="s">
        <v>66</v>
      </c>
      <c r="V98" s="26" t="s">
        <v>1160</v>
      </c>
      <c r="W98" s="26">
        <v>27375</v>
      </c>
      <c r="X98" s="16" t="s">
        <v>362</v>
      </c>
      <c r="Y98" s="26">
        <v>2.7375000000000003</v>
      </c>
      <c r="Z98" s="26" t="s">
        <v>67</v>
      </c>
      <c r="AA98" s="26">
        <v>1097.3203570078999</v>
      </c>
      <c r="AB98" s="29" t="s">
        <v>89</v>
      </c>
      <c r="AC98" s="29" t="s">
        <v>70</v>
      </c>
      <c r="AD98" s="39" t="s">
        <v>70</v>
      </c>
      <c r="AE98" s="29" t="s">
        <v>70</v>
      </c>
      <c r="AF98" s="29" t="s">
        <v>70</v>
      </c>
      <c r="AG98" s="25">
        <v>27431.92011815944</v>
      </c>
      <c r="AH98" s="25" t="s">
        <v>404</v>
      </c>
      <c r="AI98" s="25" t="s">
        <v>69</v>
      </c>
      <c r="AJ98" s="25" t="s">
        <v>404</v>
      </c>
      <c r="AK98" s="17" t="s">
        <v>362</v>
      </c>
      <c r="AL98" s="27">
        <f t="shared" si="19"/>
        <v>1.6555763949228608</v>
      </c>
      <c r="AM98" s="27">
        <f t="shared" si="20"/>
        <v>4.4373699921970253</v>
      </c>
      <c r="AN98" s="27">
        <f t="shared" si="21"/>
        <v>0.57258120133248613</v>
      </c>
      <c r="AO98" s="27">
        <f t="shared" si="22"/>
        <v>3.0407290331816967</v>
      </c>
      <c r="AP98" s="27">
        <f t="shared" si="23"/>
        <v>0.61888743292991655</v>
      </c>
      <c r="AQ98" s="27">
        <f t="shared" si="24"/>
        <v>0.34776892332889625</v>
      </c>
      <c r="AR98" s="27">
        <f t="shared" si="25"/>
        <v>0.12420622549299198</v>
      </c>
      <c r="AS98" s="27">
        <f t="shared" si="26"/>
        <v>0</v>
      </c>
      <c r="AT98" s="27">
        <f t="shared" si="28"/>
        <v>27.3</v>
      </c>
      <c r="AU98" s="27" t="b">
        <f t="shared" si="27"/>
        <v>0</v>
      </c>
      <c r="AV98" s="11"/>
    </row>
    <row r="99" spans="1:48" s="30" customFormat="1">
      <c r="A99" s="25" t="s">
        <v>413</v>
      </c>
      <c r="B99" s="26" t="s">
        <v>385</v>
      </c>
      <c r="C99" s="26" t="s">
        <v>386</v>
      </c>
      <c r="D99" s="26" t="s">
        <v>344</v>
      </c>
      <c r="E99" s="25" t="s">
        <v>355</v>
      </c>
      <c r="F99" s="25">
        <v>400</v>
      </c>
      <c r="G99" s="25" t="s">
        <v>86</v>
      </c>
      <c r="H99" s="25" t="s">
        <v>180</v>
      </c>
      <c r="I99" s="50">
        <v>32.516759999999998</v>
      </c>
      <c r="J99" s="50">
        <v>35.627139999999997</v>
      </c>
      <c r="K99" s="25" t="s">
        <v>62</v>
      </c>
      <c r="L99" s="16" t="s">
        <v>362</v>
      </c>
      <c r="M99" s="25" t="s">
        <v>60</v>
      </c>
      <c r="N99" s="26" t="s">
        <v>61</v>
      </c>
      <c r="O99" s="25">
        <v>10413.17578</v>
      </c>
      <c r="P99" s="25">
        <v>11285869</v>
      </c>
      <c r="Q99" s="27">
        <v>0.30070812699999999</v>
      </c>
      <c r="R99" s="25" t="s">
        <v>64</v>
      </c>
      <c r="S99" s="28" t="s">
        <v>65</v>
      </c>
      <c r="T99" s="39">
        <v>2.7904676993434321</v>
      </c>
      <c r="U99" s="26" t="s">
        <v>66</v>
      </c>
      <c r="V99" s="26" t="s">
        <v>1159</v>
      </c>
      <c r="W99" s="26">
        <v>66853.344283543949</v>
      </c>
      <c r="X99" s="16" t="s">
        <v>79</v>
      </c>
      <c r="Y99" s="26">
        <v>6.6853344283543956</v>
      </c>
      <c r="Z99" s="26" t="s">
        <v>387</v>
      </c>
      <c r="AA99" s="26">
        <v>224332.25643963399</v>
      </c>
      <c r="AB99" s="29" t="s">
        <v>89</v>
      </c>
      <c r="AC99" s="29" t="s">
        <v>70</v>
      </c>
      <c r="AD99" s="39" t="s">
        <v>70</v>
      </c>
      <c r="AE99" s="29" t="s">
        <v>70</v>
      </c>
      <c r="AF99" s="29" t="s">
        <v>70</v>
      </c>
      <c r="AG99" s="25">
        <v>66992.350685588637</v>
      </c>
      <c r="AH99" s="25" t="s">
        <v>388</v>
      </c>
      <c r="AI99" s="25" t="s">
        <v>69</v>
      </c>
      <c r="AJ99" s="25" t="s">
        <v>388</v>
      </c>
      <c r="AK99" s="17" t="s">
        <v>362</v>
      </c>
      <c r="AL99" s="27">
        <f t="shared" si="19"/>
        <v>0.5786928001296181</v>
      </c>
      <c r="AM99" s="27">
        <f t="shared" si="20"/>
        <v>4.8251296335436962</v>
      </c>
      <c r="AN99" s="27">
        <f t="shared" si="21"/>
        <v>0.88566277062935961</v>
      </c>
      <c r="AO99" s="27">
        <f t="shared" si="22"/>
        <v>5.3508936606431776</v>
      </c>
      <c r="AP99" s="27">
        <f t="shared" si="23"/>
        <v>0.21082817477231053</v>
      </c>
      <c r="AQ99" s="27">
        <f t="shared" si="24"/>
        <v>0.47103210097459774</v>
      </c>
      <c r="AR99" s="27">
        <f t="shared" si="25"/>
        <v>0.20420561607053123</v>
      </c>
      <c r="AS99" s="27">
        <f t="shared" si="26"/>
        <v>0.58323319507513538</v>
      </c>
      <c r="AT99" s="27">
        <f t="shared" si="28"/>
        <v>36.700000000000003</v>
      </c>
      <c r="AU99" s="27" t="b">
        <f t="shared" si="27"/>
        <v>0</v>
      </c>
      <c r="AV99" s="11"/>
    </row>
    <row r="100" spans="1:48" s="30" customFormat="1">
      <c r="A100" s="25" t="s">
        <v>417</v>
      </c>
      <c r="B100" s="26" t="s">
        <v>353</v>
      </c>
      <c r="C100" s="26" t="s">
        <v>354</v>
      </c>
      <c r="D100" s="26" t="s">
        <v>344</v>
      </c>
      <c r="E100" s="25" t="s">
        <v>355</v>
      </c>
      <c r="F100" s="25">
        <v>400</v>
      </c>
      <c r="G100" s="25" t="s">
        <v>86</v>
      </c>
      <c r="H100" s="25" t="s">
        <v>180</v>
      </c>
      <c r="I100" s="50">
        <v>32.006602110000003</v>
      </c>
      <c r="J100" s="50">
        <v>36.055562500000001</v>
      </c>
      <c r="K100" s="25" t="s">
        <v>62</v>
      </c>
      <c r="L100" s="16" t="s">
        <v>356</v>
      </c>
      <c r="M100" s="25" t="s">
        <v>60</v>
      </c>
      <c r="N100" s="26" t="s">
        <v>61</v>
      </c>
      <c r="O100" s="25">
        <v>10413.17578</v>
      </c>
      <c r="P100" s="25">
        <v>11285869</v>
      </c>
      <c r="Q100" s="27">
        <v>0.30070812699999999</v>
      </c>
      <c r="R100" s="25" t="s">
        <v>64</v>
      </c>
      <c r="S100" s="28" t="s">
        <v>65</v>
      </c>
      <c r="T100" s="39">
        <v>282.10164319837901</v>
      </c>
      <c r="U100" s="26" t="s">
        <v>66</v>
      </c>
      <c r="V100" s="26" t="s">
        <v>1160</v>
      </c>
      <c r="W100" s="26">
        <v>818984.70033412124</v>
      </c>
      <c r="X100" s="16" t="s">
        <v>356</v>
      </c>
      <c r="Y100" s="26">
        <v>81.898470033412124</v>
      </c>
      <c r="Z100" s="26" t="s">
        <v>356</v>
      </c>
      <c r="AA100" s="26">
        <v>2401627.4262737399</v>
      </c>
      <c r="AB100" s="29" t="s">
        <v>68</v>
      </c>
      <c r="AC100" s="29" t="s">
        <v>1149</v>
      </c>
      <c r="AD100" s="39">
        <v>0.9375</v>
      </c>
      <c r="AE100" s="26">
        <v>16</v>
      </c>
      <c r="AF100" s="29" t="s">
        <v>1151</v>
      </c>
      <c r="AG100" s="25">
        <v>820687.59370083502</v>
      </c>
      <c r="AH100" s="25" t="s">
        <v>357</v>
      </c>
      <c r="AI100" s="25" t="s">
        <v>69</v>
      </c>
      <c r="AJ100" s="25" t="s">
        <v>357</v>
      </c>
      <c r="AK100" s="17" t="s">
        <v>358</v>
      </c>
      <c r="AL100" s="27">
        <f t="shared" ref="AL100:AL131" si="29">LOG10(T100 + 1)</f>
        <v>2.451942390134858</v>
      </c>
      <c r="AM100" s="27">
        <f t="shared" ref="AM100:AM131" si="30">LOG10(W100 + 1)</f>
        <v>5.9132763189518709</v>
      </c>
      <c r="AN100" s="27">
        <f t="shared" ref="AN100:AN131" si="31">LOG10(Y100+ 1)</f>
        <v>1.9185465153249641</v>
      </c>
      <c r="AO100" s="27">
        <f t="shared" ref="AO100:AO131" si="32">LOG10(AA100+ 1)</f>
        <v>6.380505815347548</v>
      </c>
      <c r="AP100" s="27">
        <f t="shared" ref="AP100:AP131" si="33">IF(ISBLANK(T100),$AP$2, MIN(1, MAX(0, (AL100 - $AL$1) / ($AL$2 - $AL$1))))</f>
        <v>0.92065126218626547</v>
      </c>
      <c r="AQ100" s="27">
        <f t="shared" ref="AQ100:AQ131" si="34">IF(ISBLANK(W100), $AQ$2, MIN(1, MAX(0, (AM100 - $AM$1) / ($AM$2 - $AM$1))))</f>
        <v>0.81693818269632479</v>
      </c>
      <c r="AR100" s="27">
        <f t="shared" ref="AR100:AR131" si="35">IF(ISBLANK(Y100), $AR$2, MIN(1, MAX(0, (AN100 - $AN$1) / ($AN$2 - $AN$1))))</f>
        <v>0.46813067016639415</v>
      </c>
      <c r="AS100" s="27">
        <f t="shared" ref="AS100:AS131" si="36">IF(ISBLANK(AA100), $AS$2, MIN(1, MAX(0, (AO100 - $AO$1) / ($AO$2 - $AO$1))))</f>
        <v>0.84317310565037729</v>
      </c>
      <c r="AT100" s="27">
        <f t="shared" si="28"/>
        <v>76.2</v>
      </c>
      <c r="AU100" s="27" t="b">
        <f t="shared" si="27"/>
        <v>0</v>
      </c>
      <c r="AV100" s="11"/>
    </row>
    <row r="101" spans="1:48" s="30" customFormat="1">
      <c r="A101" s="25" t="s">
        <v>421</v>
      </c>
      <c r="B101" s="26" t="s">
        <v>1123</v>
      </c>
      <c r="C101" s="26" t="s">
        <v>428</v>
      </c>
      <c r="D101" s="26" t="s">
        <v>923</v>
      </c>
      <c r="E101" s="25" t="s">
        <v>429</v>
      </c>
      <c r="F101" s="25">
        <v>404</v>
      </c>
      <c r="G101" s="25" t="s">
        <v>125</v>
      </c>
      <c r="H101" s="25" t="s">
        <v>137</v>
      </c>
      <c r="I101" s="50">
        <v>-1.2492656896000001</v>
      </c>
      <c r="J101" s="50">
        <v>36.895381378000003</v>
      </c>
      <c r="K101" s="25" t="s">
        <v>62</v>
      </c>
      <c r="L101" s="16" t="s">
        <v>101</v>
      </c>
      <c r="M101" s="25" t="s">
        <v>88</v>
      </c>
      <c r="N101" s="26" t="s">
        <v>61</v>
      </c>
      <c r="O101" s="25">
        <v>3329.8544919999999</v>
      </c>
      <c r="P101" s="25">
        <v>54027487</v>
      </c>
      <c r="Q101" s="27">
        <v>0.13531024</v>
      </c>
      <c r="R101" s="25" t="s">
        <v>64</v>
      </c>
      <c r="S101" s="28">
        <v>1975</v>
      </c>
      <c r="T101" s="39">
        <v>41.836017012423994</v>
      </c>
      <c r="U101" s="26" t="s">
        <v>430</v>
      </c>
      <c r="V101" s="26" t="s">
        <v>1160</v>
      </c>
      <c r="W101" s="26">
        <v>730000</v>
      </c>
      <c r="X101" s="16" t="s">
        <v>926</v>
      </c>
      <c r="Y101" s="26">
        <v>3000</v>
      </c>
      <c r="Z101" s="26" t="s">
        <v>101</v>
      </c>
      <c r="AA101" s="26">
        <v>3778623.7863933402</v>
      </c>
      <c r="AB101" s="29" t="s">
        <v>68</v>
      </c>
      <c r="AC101" s="29" t="s">
        <v>1149</v>
      </c>
      <c r="AD101" s="39">
        <v>0.625</v>
      </c>
      <c r="AE101" s="26">
        <v>8</v>
      </c>
      <c r="AF101" s="29" t="s">
        <v>1151</v>
      </c>
      <c r="AG101" s="30">
        <v>647440.18185436667</v>
      </c>
      <c r="AH101" s="30" t="s">
        <v>431</v>
      </c>
      <c r="AI101" s="25" t="s">
        <v>69</v>
      </c>
      <c r="AJ101" s="30" t="s">
        <v>432</v>
      </c>
      <c r="AK101" s="17" t="s">
        <v>433</v>
      </c>
      <c r="AL101" s="27">
        <f t="shared" si="29"/>
        <v>1.6318090823758993</v>
      </c>
      <c r="AM101" s="27">
        <f t="shared" si="30"/>
        <v>5.8633234550439965</v>
      </c>
      <c r="AN101" s="27">
        <f t="shared" si="31"/>
        <v>3.4772659954248528</v>
      </c>
      <c r="AO101" s="27">
        <f t="shared" si="32"/>
        <v>6.5773337690566853</v>
      </c>
      <c r="AP101" s="27">
        <f t="shared" si="33"/>
        <v>0.60988137881858517</v>
      </c>
      <c r="AQ101" s="27">
        <f t="shared" si="34"/>
        <v>0.80105889026557131</v>
      </c>
      <c r="AR101" s="27">
        <f t="shared" si="35"/>
        <v>0.86641859484166872</v>
      </c>
      <c r="AS101" s="27">
        <f t="shared" si="36"/>
        <v>0.89286506048219594</v>
      </c>
      <c r="AT101" s="27">
        <f t="shared" si="28"/>
        <v>79.3</v>
      </c>
      <c r="AU101" s="27" t="b">
        <f t="shared" si="27"/>
        <v>0</v>
      </c>
      <c r="AV101" s="11"/>
    </row>
    <row r="102" spans="1:48" s="30" customFormat="1">
      <c r="A102" s="25" t="s">
        <v>425</v>
      </c>
      <c r="B102" s="26" t="s">
        <v>924</v>
      </c>
      <c r="C102" s="26" t="s">
        <v>925</v>
      </c>
      <c r="D102" s="26" t="s">
        <v>923</v>
      </c>
      <c r="E102" s="25" t="s">
        <v>429</v>
      </c>
      <c r="F102" s="25">
        <v>404</v>
      </c>
      <c r="G102" s="25" t="s">
        <v>125</v>
      </c>
      <c r="H102" s="25" t="s">
        <v>137</v>
      </c>
      <c r="I102" s="50">
        <f>-0.27455</f>
        <v>-0.27455000000000002</v>
      </c>
      <c r="J102" s="50">
        <v>36.047851000000001</v>
      </c>
      <c r="K102" s="25" t="s">
        <v>62</v>
      </c>
      <c r="L102" s="16" t="s">
        <v>931</v>
      </c>
      <c r="M102" s="25" t="s">
        <v>88</v>
      </c>
      <c r="N102" s="26" t="s">
        <v>61</v>
      </c>
      <c r="O102" s="25">
        <v>3329.8544919999999</v>
      </c>
      <c r="P102" s="25">
        <v>54027487</v>
      </c>
      <c r="Q102" s="27">
        <v>0.13531024</v>
      </c>
      <c r="R102" s="25" t="s">
        <v>64</v>
      </c>
      <c r="S102" s="28">
        <v>1972</v>
      </c>
      <c r="T102" s="39">
        <v>1.0117818097732001</v>
      </c>
      <c r="U102" s="26" t="s">
        <v>66</v>
      </c>
      <c r="V102" s="26" t="s">
        <v>1160</v>
      </c>
      <c r="W102" s="26">
        <f>Q102*AA102</f>
        <v>73232.53198363274</v>
      </c>
      <c r="X102" s="16" t="s">
        <v>67</v>
      </c>
      <c r="Y102" s="26">
        <v>48.672336387504124</v>
      </c>
      <c r="Z102" s="26" t="s">
        <v>67</v>
      </c>
      <c r="AA102" s="26">
        <v>541219.43752100901</v>
      </c>
      <c r="AB102" s="29" t="s">
        <v>89</v>
      </c>
      <c r="AC102" s="29" t="s">
        <v>70</v>
      </c>
      <c r="AD102" s="39" t="s">
        <v>70</v>
      </c>
      <c r="AE102" s="29" t="s">
        <v>70</v>
      </c>
      <c r="AF102" s="29" t="s">
        <v>70</v>
      </c>
      <c r="AG102" s="25">
        <v>64950.251815258714</v>
      </c>
      <c r="AH102" s="25" t="s">
        <v>929</v>
      </c>
      <c r="AI102" s="25" t="s">
        <v>69</v>
      </c>
      <c r="AJ102" s="25" t="s">
        <v>929</v>
      </c>
      <c r="AK102" s="59" t="s">
        <v>930</v>
      </c>
      <c r="AL102" s="27">
        <f t="shared" si="29"/>
        <v>0.30358087700520719</v>
      </c>
      <c r="AM102" s="27">
        <f t="shared" si="30"/>
        <v>4.8647099802519884</v>
      </c>
      <c r="AN102" s="27">
        <f t="shared" si="31"/>
        <v>1.6961145879464417</v>
      </c>
      <c r="AO102" s="27">
        <f t="shared" si="32"/>
        <v>5.7333741880272306</v>
      </c>
      <c r="AP102" s="27">
        <f t="shared" si="33"/>
        <v>0.10658109755500617</v>
      </c>
      <c r="AQ102" s="27">
        <f t="shared" si="34"/>
        <v>0.48361412031688628</v>
      </c>
      <c r="AR102" s="27">
        <f t="shared" si="35"/>
        <v>0.41129430424669977</v>
      </c>
      <c r="AS102" s="27">
        <f t="shared" si="36"/>
        <v>0.6797957245972629</v>
      </c>
      <c r="AT102" s="27">
        <f t="shared" si="28"/>
        <v>42</v>
      </c>
      <c r="AU102" s="27" t="b">
        <f t="shared" si="27"/>
        <v>0</v>
      </c>
      <c r="AV102" s="11"/>
    </row>
    <row r="103" spans="1:48" s="30" customFormat="1">
      <c r="A103" s="25" t="s">
        <v>726</v>
      </c>
      <c r="B103" s="26" t="s">
        <v>956</v>
      </c>
      <c r="C103" s="26" t="s">
        <v>438</v>
      </c>
      <c r="D103" s="26" t="s">
        <v>728</v>
      </c>
      <c r="E103" s="25" t="s">
        <v>436</v>
      </c>
      <c r="F103" s="25">
        <v>682</v>
      </c>
      <c r="G103" s="25" t="s">
        <v>86</v>
      </c>
      <c r="H103" s="25" t="s">
        <v>180</v>
      </c>
      <c r="I103" s="50">
        <v>24.320923000000001</v>
      </c>
      <c r="J103" s="50">
        <v>39.447082999999999</v>
      </c>
      <c r="K103" s="25" t="s">
        <v>62</v>
      </c>
      <c r="L103" s="16" t="s">
        <v>1082</v>
      </c>
      <c r="M103" s="25" t="s">
        <v>205</v>
      </c>
      <c r="N103" s="26" t="s">
        <v>61</v>
      </c>
      <c r="O103" s="25">
        <v>48921.230470000002</v>
      </c>
      <c r="P103" s="25">
        <v>36408820</v>
      </c>
      <c r="Q103" s="27">
        <v>0.51100000000000001</v>
      </c>
      <c r="R103" s="25" t="s">
        <v>64</v>
      </c>
      <c r="S103" s="28" t="s">
        <v>65</v>
      </c>
      <c r="T103" s="39">
        <v>262.87905517811612</v>
      </c>
      <c r="U103" s="26" t="s">
        <v>66</v>
      </c>
      <c r="V103" s="26" t="s">
        <v>1160</v>
      </c>
      <c r="W103" s="26">
        <v>730000</v>
      </c>
      <c r="X103" s="16" t="s">
        <v>67</v>
      </c>
      <c r="Y103" s="26">
        <v>73</v>
      </c>
      <c r="Z103" s="26" t="s">
        <v>67</v>
      </c>
      <c r="AA103" s="26">
        <v>27060.2787616725</v>
      </c>
      <c r="AB103" s="29" t="s">
        <v>68</v>
      </c>
      <c r="AC103" s="29" t="s">
        <v>1149</v>
      </c>
      <c r="AD103" s="39">
        <v>1</v>
      </c>
      <c r="AE103" s="26">
        <v>2</v>
      </c>
      <c r="AF103" s="29" t="s">
        <v>1151</v>
      </c>
      <c r="AG103" s="25">
        <v>731517.86981758499</v>
      </c>
      <c r="AH103" s="25" t="s">
        <v>1077</v>
      </c>
      <c r="AI103" s="25" t="s">
        <v>69</v>
      </c>
      <c r="AJ103" s="25"/>
      <c r="AK103" s="17" t="s">
        <v>439</v>
      </c>
      <c r="AL103" s="27">
        <f t="shared" si="29"/>
        <v>2.4214049204149894</v>
      </c>
      <c r="AM103" s="27">
        <f t="shared" si="30"/>
        <v>5.8633234550439965</v>
      </c>
      <c r="AN103" s="27">
        <f t="shared" si="31"/>
        <v>1.8692317197309762</v>
      </c>
      <c r="AO103" s="27">
        <f t="shared" si="32"/>
        <v>4.4323483150264336</v>
      </c>
      <c r="AP103" s="27">
        <f t="shared" si="33"/>
        <v>0.90907981908865532</v>
      </c>
      <c r="AQ103" s="27">
        <f t="shared" si="34"/>
        <v>0.80105889026557131</v>
      </c>
      <c r="AR103" s="27">
        <f t="shared" si="35"/>
        <v>0.45552962947647085</v>
      </c>
      <c r="AS103" s="27">
        <f t="shared" si="36"/>
        <v>0.35133364541657724</v>
      </c>
      <c r="AT103" s="27">
        <f t="shared" si="28"/>
        <v>62.9</v>
      </c>
      <c r="AU103" s="27" t="b">
        <f t="shared" si="27"/>
        <v>0</v>
      </c>
      <c r="AV103" s="11"/>
    </row>
    <row r="104" spans="1:48">
      <c r="A104" s="25" t="s">
        <v>730</v>
      </c>
      <c r="B104" s="26" t="s">
        <v>955</v>
      </c>
      <c r="C104" s="26" t="s">
        <v>957</v>
      </c>
      <c r="D104" s="26" t="s">
        <v>728</v>
      </c>
      <c r="E104" s="25" t="s">
        <v>436</v>
      </c>
      <c r="F104" s="25">
        <v>682</v>
      </c>
      <c r="G104" s="25" t="s">
        <v>86</v>
      </c>
      <c r="H104" s="25" t="s">
        <v>180</v>
      </c>
      <c r="I104" s="50">
        <v>26.161708000000001</v>
      </c>
      <c r="J104" s="50">
        <v>49.873635999999998</v>
      </c>
      <c r="K104" s="25" t="s">
        <v>62</v>
      </c>
      <c r="L104" s="16" t="s">
        <v>1078</v>
      </c>
      <c r="M104" s="25" t="s">
        <v>205</v>
      </c>
      <c r="N104" s="26" t="s">
        <v>61</v>
      </c>
      <c r="O104" s="25">
        <v>48921.230470000002</v>
      </c>
      <c r="P104" s="25">
        <v>36408820</v>
      </c>
      <c r="Q104" s="27">
        <v>0.51100000000000001</v>
      </c>
      <c r="R104" s="25" t="s">
        <v>64</v>
      </c>
      <c r="S104" s="28">
        <v>1995</v>
      </c>
      <c r="T104" s="39">
        <v>29.220464342439588</v>
      </c>
      <c r="U104" s="26" t="s">
        <v>66</v>
      </c>
      <c r="V104" s="26" t="s">
        <v>1159</v>
      </c>
      <c r="W104" s="26">
        <f>7000*12</f>
        <v>84000</v>
      </c>
      <c r="X104" s="16" t="s">
        <v>67</v>
      </c>
      <c r="Y104" s="52">
        <f>0.0001 *W104</f>
        <v>8.4</v>
      </c>
      <c r="Z104" s="26" t="s">
        <v>67</v>
      </c>
      <c r="AA104" s="29">
        <v>46227.9317315429</v>
      </c>
      <c r="AB104" s="29" t="s">
        <v>68</v>
      </c>
      <c r="AC104" s="29" t="s">
        <v>1149</v>
      </c>
      <c r="AD104" s="39">
        <v>1</v>
      </c>
      <c r="AE104" s="26">
        <v>11</v>
      </c>
      <c r="AF104" s="29" t="s">
        <v>1151</v>
      </c>
      <c r="AG104" s="53">
        <v>84174.658992708428</v>
      </c>
      <c r="AH104" s="25" t="s">
        <v>1079</v>
      </c>
      <c r="AI104" s="25" t="s">
        <v>69</v>
      </c>
      <c r="AJ104" s="25" t="s">
        <v>1080</v>
      </c>
      <c r="AK104" s="17" t="s">
        <v>1081</v>
      </c>
      <c r="AL104" s="27">
        <f t="shared" si="29"/>
        <v>1.4803011330609133</v>
      </c>
      <c r="AM104" s="27">
        <f t="shared" si="30"/>
        <v>4.9242844562035106</v>
      </c>
      <c r="AN104" s="27">
        <f t="shared" si="31"/>
        <v>0.97312785359969867</v>
      </c>
      <c r="AO104" s="27">
        <f t="shared" si="32"/>
        <v>4.6649138577803591</v>
      </c>
      <c r="AP104" s="27">
        <f t="shared" si="33"/>
        <v>0.55247106845507421</v>
      </c>
      <c r="AQ104" s="27">
        <f t="shared" si="34"/>
        <v>0.50255198395545109</v>
      </c>
      <c r="AR104" s="27">
        <f t="shared" si="35"/>
        <v>0.22655491421080634</v>
      </c>
      <c r="AS104" s="27">
        <f t="shared" si="36"/>
        <v>0.41004805172008063</v>
      </c>
      <c r="AT104" s="27">
        <f t="shared" si="28"/>
        <v>42.3</v>
      </c>
      <c r="AU104" s="27" t="b">
        <f t="shared" si="27"/>
        <v>0</v>
      </c>
      <c r="AV104"/>
    </row>
    <row r="105" spans="1:48">
      <c r="A105" s="25" t="s">
        <v>427</v>
      </c>
      <c r="B105" s="26" t="s">
        <v>441</v>
      </c>
      <c r="C105" s="26" t="s">
        <v>53</v>
      </c>
      <c r="D105" s="26" t="s">
        <v>848</v>
      </c>
      <c r="E105" s="25" t="s">
        <v>443</v>
      </c>
      <c r="F105" s="25">
        <v>417</v>
      </c>
      <c r="G105" s="25" t="s">
        <v>86</v>
      </c>
      <c r="H105" s="25" t="s">
        <v>444</v>
      </c>
      <c r="I105" s="50">
        <v>42.967222247751998</v>
      </c>
      <c r="J105" s="50">
        <v>74.588957903739995</v>
      </c>
      <c r="K105" s="25" t="s">
        <v>62</v>
      </c>
      <c r="L105" s="16" t="s">
        <v>101</v>
      </c>
      <c r="M105" s="25" t="s">
        <v>88</v>
      </c>
      <c r="N105" s="26" t="s">
        <v>445</v>
      </c>
      <c r="O105" s="25">
        <v>4805.1411129999997</v>
      </c>
      <c r="P105" s="25">
        <v>6974900</v>
      </c>
      <c r="Q105" s="27">
        <v>0.18689251100000001</v>
      </c>
      <c r="R105" s="25" t="s">
        <v>64</v>
      </c>
      <c r="S105" s="28">
        <v>1978</v>
      </c>
      <c r="T105" s="39">
        <v>43.282322194663621</v>
      </c>
      <c r="U105" s="26" t="s">
        <v>188</v>
      </c>
      <c r="V105" s="26" t="s">
        <v>1159</v>
      </c>
      <c r="W105" s="26">
        <v>368650</v>
      </c>
      <c r="X105" s="16" t="s">
        <v>101</v>
      </c>
      <c r="Y105" s="26">
        <v>1000</v>
      </c>
      <c r="Z105" s="26" t="s">
        <v>101</v>
      </c>
      <c r="AA105" s="26">
        <v>389890.80366940098</v>
      </c>
      <c r="AB105" s="29" t="s">
        <v>68</v>
      </c>
      <c r="AC105" s="29" t="s">
        <v>1149</v>
      </c>
      <c r="AD105" s="39">
        <v>0.92058823529411704</v>
      </c>
      <c r="AE105" s="26">
        <v>340</v>
      </c>
      <c r="AF105" s="29" t="s">
        <v>1152</v>
      </c>
      <c r="AG105" s="30">
        <v>427559.53547844093</v>
      </c>
      <c r="AH105" s="25" t="s">
        <v>446</v>
      </c>
      <c r="AI105" s="25" t="s">
        <v>69</v>
      </c>
      <c r="AJ105" s="25" t="s">
        <v>446</v>
      </c>
      <c r="AK105" s="17" t="s">
        <v>447</v>
      </c>
      <c r="AL105" s="27">
        <f t="shared" si="29"/>
        <v>1.6462303874976567</v>
      </c>
      <c r="AM105" s="27">
        <f t="shared" si="30"/>
        <v>5.5666154163047432</v>
      </c>
      <c r="AN105" s="27">
        <f t="shared" si="31"/>
        <v>3.0004340774793188</v>
      </c>
      <c r="AO105" s="27">
        <f t="shared" si="32"/>
        <v>5.5909441055173881</v>
      </c>
      <c r="AP105" s="27">
        <f t="shared" si="33"/>
        <v>0.61534598715517952</v>
      </c>
      <c r="AQ105" s="27">
        <f t="shared" si="34"/>
        <v>0.70673969923009539</v>
      </c>
      <c r="AR105" s="27">
        <f t="shared" si="35"/>
        <v>0.74457730303636771</v>
      </c>
      <c r="AS105" s="27">
        <f t="shared" si="36"/>
        <v>0.64383726903545657</v>
      </c>
      <c r="AT105" s="27">
        <f t="shared" si="28"/>
        <v>67.8</v>
      </c>
      <c r="AU105" s="27" t="b">
        <f t="shared" si="27"/>
        <v>0</v>
      </c>
      <c r="AV105"/>
    </row>
    <row r="106" spans="1:48">
      <c r="A106" s="25" t="s">
        <v>434</v>
      </c>
      <c r="B106" s="26" t="s">
        <v>457</v>
      </c>
      <c r="C106" s="26" t="s">
        <v>457</v>
      </c>
      <c r="D106" s="26" t="s">
        <v>435</v>
      </c>
      <c r="E106" s="25" t="s">
        <v>450</v>
      </c>
      <c r="F106" s="25">
        <v>422</v>
      </c>
      <c r="G106" s="25" t="s">
        <v>86</v>
      </c>
      <c r="H106" s="25" t="s">
        <v>180</v>
      </c>
      <c r="I106" s="50">
        <v>33.903106000000001</v>
      </c>
      <c r="J106" s="50">
        <v>35.547510000000003</v>
      </c>
      <c r="K106" s="25" t="s">
        <v>62</v>
      </c>
      <c r="L106" s="16" t="s">
        <v>459</v>
      </c>
      <c r="M106" s="25" t="s">
        <v>88</v>
      </c>
      <c r="N106" s="26" t="s">
        <v>61</v>
      </c>
      <c r="O106" s="25">
        <v>16966.740229999999</v>
      </c>
      <c r="P106" s="25">
        <v>5489739</v>
      </c>
      <c r="Q106" s="27">
        <v>0.36407253699999997</v>
      </c>
      <c r="R106" s="25" t="s">
        <v>64</v>
      </c>
      <c r="S106" s="28">
        <v>2016</v>
      </c>
      <c r="T106" s="39">
        <v>3.7558223816659302</v>
      </c>
      <c r="U106" s="26" t="s">
        <v>843</v>
      </c>
      <c r="V106" s="26" t="s">
        <v>1159</v>
      </c>
      <c r="W106" s="26">
        <v>511000</v>
      </c>
      <c r="X106" s="16" t="s">
        <v>459</v>
      </c>
      <c r="Y106" s="26">
        <v>51.084547398515319</v>
      </c>
      <c r="Z106" s="26" t="s">
        <v>67</v>
      </c>
      <c r="AA106" s="26">
        <v>1560581.64757577</v>
      </c>
      <c r="AB106" s="29" t="s">
        <v>89</v>
      </c>
      <c r="AC106" s="29" t="s">
        <v>70</v>
      </c>
      <c r="AD106" s="39" t="s">
        <v>70</v>
      </c>
      <c r="AE106" s="29" t="s">
        <v>70</v>
      </c>
      <c r="AF106" s="29" t="s">
        <v>70</v>
      </c>
      <c r="AG106" s="25">
        <v>488070.29093636799</v>
      </c>
      <c r="AH106" s="26" t="s">
        <v>460</v>
      </c>
      <c r="AI106" s="25" t="s">
        <v>69</v>
      </c>
      <c r="AJ106" s="26" t="s">
        <v>460</v>
      </c>
      <c r="AK106" s="16" t="s">
        <v>461</v>
      </c>
      <c r="AL106" s="27">
        <f t="shared" si="29"/>
        <v>0.67722562641283912</v>
      </c>
      <c r="AM106" s="27">
        <f t="shared" si="30"/>
        <v>5.7084217500252352</v>
      </c>
      <c r="AN106" s="27">
        <f t="shared" si="31"/>
        <v>1.7167088946052003</v>
      </c>
      <c r="AO106" s="27">
        <f t="shared" si="32"/>
        <v>6.1932867736009261</v>
      </c>
      <c r="AP106" s="27">
        <f t="shared" si="33"/>
        <v>0.24816483046258786</v>
      </c>
      <c r="AQ106" s="27">
        <f t="shared" si="34"/>
        <v>0.75181788024957741</v>
      </c>
      <c r="AR106" s="27">
        <f t="shared" si="35"/>
        <v>0.41655661331767996</v>
      </c>
      <c r="AS106" s="27">
        <f t="shared" si="36"/>
        <v>0.79590705430546815</v>
      </c>
      <c r="AT106" s="27">
        <f t="shared" si="28"/>
        <v>55.3</v>
      </c>
      <c r="AU106" s="27" t="b">
        <f t="shared" si="27"/>
        <v>0</v>
      </c>
      <c r="AV106"/>
    </row>
    <row r="107" spans="1:48" s="30" customFormat="1">
      <c r="A107" s="25" t="s">
        <v>437</v>
      </c>
      <c r="B107" s="26" t="s">
        <v>449</v>
      </c>
      <c r="C107" s="26" t="s">
        <v>449</v>
      </c>
      <c r="D107" s="26" t="s">
        <v>435</v>
      </c>
      <c r="E107" s="25" t="s">
        <v>450</v>
      </c>
      <c r="F107" s="25">
        <v>422</v>
      </c>
      <c r="G107" s="25" t="s">
        <v>86</v>
      </c>
      <c r="H107" s="25" t="s">
        <v>180</v>
      </c>
      <c r="I107" s="50">
        <v>33.551549999999999</v>
      </c>
      <c r="J107" s="50">
        <v>35.363833</v>
      </c>
      <c r="K107" s="25" t="s">
        <v>62</v>
      </c>
      <c r="L107" s="16" t="s">
        <v>451</v>
      </c>
      <c r="M107" s="25" t="s">
        <v>88</v>
      </c>
      <c r="N107" s="26" t="s">
        <v>61</v>
      </c>
      <c r="O107" s="25">
        <v>16966.740229999999</v>
      </c>
      <c r="P107" s="25">
        <v>5489739</v>
      </c>
      <c r="Q107" s="27">
        <v>0.36407253699999997</v>
      </c>
      <c r="R107" s="25" t="s">
        <v>64</v>
      </c>
      <c r="S107" s="28">
        <v>1982</v>
      </c>
      <c r="T107" s="39">
        <v>1.4027010039490651</v>
      </c>
      <c r="U107" s="26" t="s">
        <v>844</v>
      </c>
      <c r="V107" s="26" t="s">
        <v>1159</v>
      </c>
      <c r="W107" s="26">
        <v>675000</v>
      </c>
      <c r="X107" s="16" t="s">
        <v>451</v>
      </c>
      <c r="Y107" s="26">
        <v>12</v>
      </c>
      <c r="Z107" s="26" t="s">
        <v>452</v>
      </c>
      <c r="AA107" s="26">
        <v>300201.55427088501</v>
      </c>
      <c r="AB107" s="29" t="s">
        <v>89</v>
      </c>
      <c r="AC107" s="29" t="s">
        <v>70</v>
      </c>
      <c r="AD107" s="39" t="s">
        <v>70</v>
      </c>
      <c r="AE107" s="29" t="s">
        <v>70</v>
      </c>
      <c r="AF107" s="29" t="s">
        <v>70</v>
      </c>
      <c r="AG107" s="25">
        <v>644711.24536604434</v>
      </c>
      <c r="AH107" s="25" t="s">
        <v>453</v>
      </c>
      <c r="AI107" s="25" t="s">
        <v>69</v>
      </c>
      <c r="AJ107" s="25" t="s">
        <v>454</v>
      </c>
      <c r="AK107" s="17" t="s">
        <v>455</v>
      </c>
      <c r="AL107" s="27">
        <f t="shared" si="29"/>
        <v>0.38069972984917039</v>
      </c>
      <c r="AM107" s="27">
        <f t="shared" si="30"/>
        <v>5.8293044162297809</v>
      </c>
      <c r="AN107" s="27">
        <f t="shared" si="31"/>
        <v>1.1139433523068367</v>
      </c>
      <c r="AO107" s="27">
        <f t="shared" si="32"/>
        <v>5.4774143831138851</v>
      </c>
      <c r="AP107" s="27">
        <f t="shared" si="33"/>
        <v>0.13580344065097946</v>
      </c>
      <c r="AQ107" s="27">
        <f t="shared" si="34"/>
        <v>0.79024473020979669</v>
      </c>
      <c r="AR107" s="27">
        <f t="shared" si="35"/>
        <v>0.2625364448570941</v>
      </c>
      <c r="AS107" s="27">
        <f t="shared" si="36"/>
        <v>0.615175111392541</v>
      </c>
      <c r="AT107" s="27">
        <f t="shared" si="28"/>
        <v>45.1</v>
      </c>
      <c r="AU107" s="27" t="b">
        <f t="shared" si="27"/>
        <v>0</v>
      </c>
      <c r="AV107" s="11"/>
    </row>
    <row r="108" spans="1:48" s="30" customFormat="1">
      <c r="A108" s="25" t="s">
        <v>513</v>
      </c>
      <c r="B108" s="26" t="s">
        <v>945</v>
      </c>
      <c r="C108" s="26" t="s">
        <v>1062</v>
      </c>
      <c r="D108" s="26" t="s">
        <v>514</v>
      </c>
      <c r="E108" s="25" t="s">
        <v>463</v>
      </c>
      <c r="F108" s="25">
        <v>458</v>
      </c>
      <c r="G108" s="25" t="s">
        <v>86</v>
      </c>
      <c r="H108" s="25" t="s">
        <v>315</v>
      </c>
      <c r="I108" s="50">
        <v>4.8216666666666663</v>
      </c>
      <c r="J108" s="50">
        <v>100.6786111111111</v>
      </c>
      <c r="K108" s="25" t="s">
        <v>859</v>
      </c>
      <c r="L108" s="16" t="s">
        <v>73</v>
      </c>
      <c r="M108" s="25" t="s">
        <v>60</v>
      </c>
      <c r="N108" s="26" t="s">
        <v>61</v>
      </c>
      <c r="O108" s="25">
        <v>23906.265630000002</v>
      </c>
      <c r="P108" s="25">
        <v>33938221</v>
      </c>
      <c r="Q108" s="27">
        <v>0.42949179999999998</v>
      </c>
      <c r="R108" s="25" t="s">
        <v>64</v>
      </c>
      <c r="S108" s="28" t="s">
        <v>65</v>
      </c>
      <c r="T108" s="39">
        <v>6.4871239467794419</v>
      </c>
      <c r="U108" s="26" t="s">
        <v>66</v>
      </c>
      <c r="V108" s="26" t="s">
        <v>1159</v>
      </c>
      <c r="W108" s="26">
        <v>96971.550334024476</v>
      </c>
      <c r="X108" s="16" t="s">
        <v>67</v>
      </c>
      <c r="Y108" s="52">
        <f>0.0001 *W108</f>
        <v>9.6971550334024474</v>
      </c>
      <c r="Z108" s="26" t="s">
        <v>67</v>
      </c>
      <c r="AA108" s="26">
        <v>232286.85669762699</v>
      </c>
      <c r="AB108" s="29" t="s">
        <v>89</v>
      </c>
      <c r="AC108" s="29" t="s">
        <v>70</v>
      </c>
      <c r="AD108" s="39" t="s">
        <v>70</v>
      </c>
      <c r="AE108" s="29" t="s">
        <v>70</v>
      </c>
      <c r="AF108" s="29" t="s">
        <v>70</v>
      </c>
      <c r="AG108" s="27">
        <v>94104.350710731931</v>
      </c>
      <c r="AH108" s="25" t="s">
        <v>65</v>
      </c>
      <c r="AI108" s="25" t="s">
        <v>69</v>
      </c>
      <c r="AJ108" s="25" t="s">
        <v>65</v>
      </c>
      <c r="AK108" s="17" t="s">
        <v>70</v>
      </c>
      <c r="AL108" s="27">
        <f t="shared" si="29"/>
        <v>0.87431502278434925</v>
      </c>
      <c r="AM108" s="27">
        <f t="shared" si="30"/>
        <v>4.9866488175079482</v>
      </c>
      <c r="AN108" s="27">
        <f t="shared" si="31"/>
        <v>1.0292682900608159</v>
      </c>
      <c r="AO108" s="27">
        <f t="shared" si="32"/>
        <v>5.3660265067995532</v>
      </c>
      <c r="AP108" s="27">
        <f t="shared" si="33"/>
        <v>0.3228471389896575</v>
      </c>
      <c r="AQ108" s="27">
        <f t="shared" si="34"/>
        <v>0.52237671176758804</v>
      </c>
      <c r="AR108" s="27">
        <f t="shared" si="35"/>
        <v>0.2409000598344625</v>
      </c>
      <c r="AS108" s="27">
        <f t="shared" si="36"/>
        <v>0.58705369258836315</v>
      </c>
      <c r="AT108" s="27">
        <f t="shared" si="28"/>
        <v>41.8</v>
      </c>
      <c r="AU108" s="27" t="b">
        <f t="shared" si="27"/>
        <v>0</v>
      </c>
      <c r="AV108" s="11"/>
    </row>
    <row r="109" spans="1:48" s="30" customFormat="1">
      <c r="A109" s="25" t="s">
        <v>503</v>
      </c>
      <c r="B109" s="26" t="s">
        <v>465</v>
      </c>
      <c r="C109" s="26" t="s">
        <v>466</v>
      </c>
      <c r="D109" s="26" t="s">
        <v>504</v>
      </c>
      <c r="E109" s="25" t="s">
        <v>467</v>
      </c>
      <c r="F109" s="25">
        <v>466</v>
      </c>
      <c r="G109" s="25" t="s">
        <v>125</v>
      </c>
      <c r="H109" s="25" t="s">
        <v>173</v>
      </c>
      <c r="I109" s="50">
        <v>12.681867</v>
      </c>
      <c r="J109" s="50">
        <v>-7.9377420000000001</v>
      </c>
      <c r="K109" s="25" t="s">
        <v>62</v>
      </c>
      <c r="L109" s="16" t="s">
        <v>101</v>
      </c>
      <c r="M109" s="25" t="s">
        <v>163</v>
      </c>
      <c r="N109" s="26" t="s">
        <v>61</v>
      </c>
      <c r="O109" s="25">
        <v>2007.80603</v>
      </c>
      <c r="P109" s="25">
        <v>22593590</v>
      </c>
      <c r="Q109" s="27">
        <v>0.121034196</v>
      </c>
      <c r="R109" s="25" t="s">
        <v>64</v>
      </c>
      <c r="S109" s="28">
        <v>2007</v>
      </c>
      <c r="T109" s="39">
        <v>9.2916530627815987</v>
      </c>
      <c r="U109" s="26" t="s">
        <v>66</v>
      </c>
      <c r="V109" s="26" t="s">
        <v>1160</v>
      </c>
      <c r="W109" s="26">
        <v>147000</v>
      </c>
      <c r="X109" s="16" t="s">
        <v>468</v>
      </c>
      <c r="Y109" s="26">
        <v>670</v>
      </c>
      <c r="Z109" s="26" t="s">
        <v>101</v>
      </c>
      <c r="AA109" s="26">
        <v>1615362.44029435</v>
      </c>
      <c r="AB109" s="29" t="s">
        <v>89</v>
      </c>
      <c r="AC109" s="29" t="s">
        <v>70</v>
      </c>
      <c r="AD109" s="39" t="s">
        <v>70</v>
      </c>
      <c r="AE109" s="29" t="s">
        <v>70</v>
      </c>
      <c r="AF109" s="29" t="s">
        <v>70</v>
      </c>
      <c r="AG109" s="25">
        <v>126261.9884890626</v>
      </c>
      <c r="AH109" s="25" t="s">
        <v>469</v>
      </c>
      <c r="AI109" s="25" t="s">
        <v>69</v>
      </c>
      <c r="AJ109" s="25" t="s">
        <v>469</v>
      </c>
      <c r="AK109" s="17" t="s">
        <v>470</v>
      </c>
      <c r="AL109" s="27">
        <f t="shared" si="29"/>
        <v>1.0124851374820398</v>
      </c>
      <c r="AM109" s="27">
        <f t="shared" si="30"/>
        <v>5.1673202891223582</v>
      </c>
      <c r="AN109" s="27">
        <f t="shared" si="31"/>
        <v>2.8267225201689921</v>
      </c>
      <c r="AO109" s="27">
        <f t="shared" si="32"/>
        <v>6.2082702494886686</v>
      </c>
      <c r="AP109" s="27">
        <f t="shared" si="33"/>
        <v>0.37520339622646315</v>
      </c>
      <c r="AQ109" s="27">
        <f t="shared" si="34"/>
        <v>0.57980955759902686</v>
      </c>
      <c r="AR109" s="27">
        <f t="shared" si="35"/>
        <v>0.70019008870014454</v>
      </c>
      <c r="AS109" s="27">
        <f t="shared" si="36"/>
        <v>0.7996898412166078</v>
      </c>
      <c r="AT109" s="27">
        <f t="shared" si="28"/>
        <v>61.4</v>
      </c>
      <c r="AU109" s="27" t="b">
        <f t="shared" si="27"/>
        <v>0</v>
      </c>
      <c r="AV109" s="11"/>
    </row>
    <row r="110" spans="1:48">
      <c r="A110" s="25" t="s">
        <v>456</v>
      </c>
      <c r="B110" s="26" t="s">
        <v>941</v>
      </c>
      <c r="C110" s="26" t="s">
        <v>942</v>
      </c>
      <c r="D110" s="26" t="s">
        <v>458</v>
      </c>
      <c r="E110" s="25" t="s">
        <v>473</v>
      </c>
      <c r="F110" s="25">
        <v>484</v>
      </c>
      <c r="G110" s="25" t="s">
        <v>58</v>
      </c>
      <c r="H110" s="25" t="s">
        <v>212</v>
      </c>
      <c r="I110" s="50">
        <v>27.01027777777778</v>
      </c>
      <c r="J110" s="50">
        <v>-109.38138888888891</v>
      </c>
      <c r="K110" s="25" t="s">
        <v>859</v>
      </c>
      <c r="L110" s="16" t="s">
        <v>1137</v>
      </c>
      <c r="M110" s="25" t="s">
        <v>60</v>
      </c>
      <c r="N110" s="26" t="s">
        <v>61</v>
      </c>
      <c r="O110" s="25">
        <v>19332.074219999999</v>
      </c>
      <c r="P110" s="25">
        <v>127504125</v>
      </c>
      <c r="Q110" s="27">
        <v>0.42179361700000001</v>
      </c>
      <c r="R110" s="25" t="s">
        <v>64</v>
      </c>
      <c r="S110" s="28" t="s">
        <v>65</v>
      </c>
      <c r="T110" s="40">
        <v>24.022442808332531</v>
      </c>
      <c r="U110" s="25" t="s">
        <v>66</v>
      </c>
      <c r="V110" s="25" t="s">
        <v>1159</v>
      </c>
      <c r="W110" s="62">
        <v>49996.54758965761</v>
      </c>
      <c r="X110" s="17" t="s">
        <v>67</v>
      </c>
      <c r="Y110" s="52">
        <f>0.0001 *W110</f>
        <v>4.9996547589657609</v>
      </c>
      <c r="Z110" s="26" t="s">
        <v>67</v>
      </c>
      <c r="AA110" s="63">
        <v>83927.452939588693</v>
      </c>
      <c r="AB110" s="27" t="s">
        <v>68</v>
      </c>
      <c r="AC110" s="29" t="s">
        <v>1149</v>
      </c>
      <c r="AD110" s="39">
        <v>1.0181818181818101</v>
      </c>
      <c r="AE110" s="26">
        <v>55</v>
      </c>
      <c r="AF110" s="29" t="s">
        <v>1151</v>
      </c>
      <c r="AG110" s="63">
        <v>51164.026127826728</v>
      </c>
      <c r="AH110" s="63" t="s">
        <v>1138</v>
      </c>
      <c r="AI110" s="25" t="s">
        <v>69</v>
      </c>
      <c r="AJ110" s="63" t="s">
        <v>1138</v>
      </c>
      <c r="AK110" s="63" t="s">
        <v>1137</v>
      </c>
      <c r="AL110" s="27">
        <f t="shared" si="29"/>
        <v>1.3983297052931545</v>
      </c>
      <c r="AM110" s="27">
        <f t="shared" si="30"/>
        <v>4.6989487024480239</v>
      </c>
      <c r="AN110" s="27">
        <f t="shared" si="31"/>
        <v>0.77812626028532006</v>
      </c>
      <c r="AO110" s="27">
        <f t="shared" si="32"/>
        <v>4.9239092177992463</v>
      </c>
      <c r="AP110" s="27">
        <f t="shared" si="33"/>
        <v>0.52140995826010139</v>
      </c>
      <c r="AQ110" s="27">
        <f t="shared" si="34"/>
        <v>0.43092100929128219</v>
      </c>
      <c r="AR110" s="27">
        <f t="shared" si="35"/>
        <v>0.17672761629022185</v>
      </c>
      <c r="AS110" s="27">
        <f t="shared" si="36"/>
        <v>0.47543503303640211</v>
      </c>
      <c r="AT110" s="27">
        <f t="shared" si="28"/>
        <v>40.1</v>
      </c>
      <c r="AU110" s="27" t="b">
        <f t="shared" si="27"/>
        <v>0</v>
      </c>
      <c r="AV110"/>
    </row>
    <row r="111" spans="1:48">
      <c r="A111" s="25" t="s">
        <v>462</v>
      </c>
      <c r="B111" s="26" t="s">
        <v>1124</v>
      </c>
      <c r="C111" s="26" t="s">
        <v>1125</v>
      </c>
      <c r="D111" s="26" t="s">
        <v>458</v>
      </c>
      <c r="E111" s="25" t="s">
        <v>473</v>
      </c>
      <c r="F111" s="25">
        <v>484</v>
      </c>
      <c r="G111" s="25" t="s">
        <v>58</v>
      </c>
      <c r="H111" s="25" t="s">
        <v>212</v>
      </c>
      <c r="I111" s="50">
        <v>21.548611111111111</v>
      </c>
      <c r="J111" s="50">
        <v>-104.8925</v>
      </c>
      <c r="K111" s="25" t="s">
        <v>62</v>
      </c>
      <c r="L111" s="16" t="s">
        <v>73</v>
      </c>
      <c r="M111" s="25" t="s">
        <v>60</v>
      </c>
      <c r="N111" s="26" t="s">
        <v>61</v>
      </c>
      <c r="O111" s="25">
        <v>19332.074219999999</v>
      </c>
      <c r="P111" s="25">
        <v>127504125</v>
      </c>
      <c r="Q111" s="27">
        <v>0.42179361700000001</v>
      </c>
      <c r="R111" s="25" t="s">
        <v>64</v>
      </c>
      <c r="S111" s="28" t="s">
        <v>65</v>
      </c>
      <c r="T111" s="39">
        <v>16.33778268749565</v>
      </c>
      <c r="U111" s="26" t="s">
        <v>66</v>
      </c>
      <c r="V111" s="26" t="s">
        <v>1159</v>
      </c>
      <c r="W111" s="26">
        <v>172809.69036491346</v>
      </c>
      <c r="X111" s="16" t="s">
        <v>67</v>
      </c>
      <c r="Y111" s="26">
        <v>17.280969036491346</v>
      </c>
      <c r="Z111" s="26" t="s">
        <v>67</v>
      </c>
      <c r="AA111" s="26">
        <v>416055.074719064</v>
      </c>
      <c r="AB111" s="29" t="s">
        <v>68</v>
      </c>
      <c r="AC111" s="29" t="s">
        <v>1149</v>
      </c>
      <c r="AD111" s="39">
        <v>0.83333333333333304</v>
      </c>
      <c r="AE111" s="26">
        <v>6</v>
      </c>
      <c r="AF111" s="29" t="s">
        <v>1151</v>
      </c>
      <c r="AG111" s="25">
        <v>176845.00108965687</v>
      </c>
      <c r="AH111" s="25" t="s">
        <v>65</v>
      </c>
      <c r="AI111" s="25" t="s">
        <v>69</v>
      </c>
      <c r="AJ111" s="25" t="s">
        <v>65</v>
      </c>
      <c r="AK111" s="16" t="s">
        <v>484</v>
      </c>
      <c r="AL111" s="27">
        <f t="shared" si="29"/>
        <v>1.2389935551840723</v>
      </c>
      <c r="AM111" s="27">
        <f t="shared" si="30"/>
        <v>5.2375706051734516</v>
      </c>
      <c r="AN111" s="27">
        <f t="shared" si="31"/>
        <v>1.2619992130633835</v>
      </c>
      <c r="AO111" s="27">
        <f t="shared" si="32"/>
        <v>5.6191518674053098</v>
      </c>
      <c r="AP111" s="27">
        <f t="shared" si="33"/>
        <v>0.4610333386091312</v>
      </c>
      <c r="AQ111" s="27">
        <f t="shared" si="34"/>
        <v>0.60214111628574152</v>
      </c>
      <c r="AR111" s="27">
        <f t="shared" si="35"/>
        <v>0.30036805103741687</v>
      </c>
      <c r="AS111" s="27">
        <f t="shared" si="36"/>
        <v>0.65095871089992197</v>
      </c>
      <c r="AT111" s="27">
        <f t="shared" si="28"/>
        <v>50.4</v>
      </c>
      <c r="AU111" s="27" t="b">
        <f t="shared" si="27"/>
        <v>0</v>
      </c>
      <c r="AV111"/>
    </row>
    <row r="112" spans="1:48" s="30" customFormat="1">
      <c r="A112" s="25" t="s">
        <v>464</v>
      </c>
      <c r="B112" s="26" t="s">
        <v>938</v>
      </c>
      <c r="C112" s="26" t="s">
        <v>508</v>
      </c>
      <c r="D112" s="26" t="s">
        <v>458</v>
      </c>
      <c r="E112" s="25" t="s">
        <v>473</v>
      </c>
      <c r="F112" s="25">
        <v>484</v>
      </c>
      <c r="G112" s="25" t="s">
        <v>58</v>
      </c>
      <c r="H112" s="25" t="s">
        <v>212</v>
      </c>
      <c r="I112" s="50">
        <v>18.035</v>
      </c>
      <c r="J112" s="50">
        <v>-94.528611111111104</v>
      </c>
      <c r="K112" s="25" t="s">
        <v>62</v>
      </c>
      <c r="L112" s="16" t="s">
        <v>73</v>
      </c>
      <c r="M112" s="25" t="s">
        <v>60</v>
      </c>
      <c r="N112" s="26" t="s">
        <v>61</v>
      </c>
      <c r="O112" s="25">
        <v>19332.074219999999</v>
      </c>
      <c r="P112" s="25">
        <v>127504125</v>
      </c>
      <c r="Q112" s="27">
        <v>0.42179361700000001</v>
      </c>
      <c r="R112" s="25" t="s">
        <v>64</v>
      </c>
      <c r="S112" s="28" t="s">
        <v>65</v>
      </c>
      <c r="T112" s="39">
        <v>6.1768428197662351</v>
      </c>
      <c r="U112" s="26" t="s">
        <v>66</v>
      </c>
      <c r="V112" s="26" t="s">
        <v>1160</v>
      </c>
      <c r="W112" s="26">
        <v>82643.970322496738</v>
      </c>
      <c r="X112" s="16" t="s">
        <v>67</v>
      </c>
      <c r="Y112" s="26">
        <v>8.2643970322496738</v>
      </c>
      <c r="Z112" s="26" t="s">
        <v>67</v>
      </c>
      <c r="AA112" s="26">
        <v>201280.95447195199</v>
      </c>
      <c r="AB112" s="29" t="s">
        <v>68</v>
      </c>
      <c r="AC112" s="29" t="s">
        <v>1149</v>
      </c>
      <c r="AD112" s="39">
        <v>1</v>
      </c>
      <c r="AE112" s="26">
        <v>1</v>
      </c>
      <c r="AF112" s="29" t="s">
        <v>1151</v>
      </c>
      <c r="AG112" s="25">
        <v>84573.804807319437</v>
      </c>
      <c r="AH112" s="25" t="s">
        <v>65</v>
      </c>
      <c r="AI112" s="25" t="s">
        <v>69</v>
      </c>
      <c r="AJ112" s="25" t="s">
        <v>65</v>
      </c>
      <c r="AK112" s="17" t="s">
        <v>509</v>
      </c>
      <c r="AL112" s="27">
        <f t="shared" si="29"/>
        <v>0.85593343484096973</v>
      </c>
      <c r="AM112" s="27">
        <f t="shared" si="30"/>
        <v>4.9172164280508071</v>
      </c>
      <c r="AN112" s="27">
        <f t="shared" si="31"/>
        <v>0.96681715877761154</v>
      </c>
      <c r="AO112" s="27">
        <f t="shared" si="32"/>
        <v>5.3038048408372269</v>
      </c>
      <c r="AP112" s="27">
        <f t="shared" si="33"/>
        <v>0.31588187628512693</v>
      </c>
      <c r="AQ112" s="27">
        <f t="shared" si="34"/>
        <v>0.50030516010662096</v>
      </c>
      <c r="AR112" s="27">
        <f t="shared" si="35"/>
        <v>0.22494238958656351</v>
      </c>
      <c r="AS112" s="27">
        <f t="shared" si="36"/>
        <v>0.57134496749980435</v>
      </c>
      <c r="AT112" s="27">
        <f t="shared" si="28"/>
        <v>40.299999999999997</v>
      </c>
      <c r="AU112" s="27" t="b">
        <f t="shared" si="27"/>
        <v>0</v>
      </c>
      <c r="AV112" s="11"/>
    </row>
    <row r="113" spans="1:52" s="31" customFormat="1" ht="11.5" customHeight="1">
      <c r="A113" s="25" t="s">
        <v>471</v>
      </c>
      <c r="B113" s="26" t="s">
        <v>472</v>
      </c>
      <c r="C113" s="26" t="s">
        <v>472</v>
      </c>
      <c r="D113" s="26" t="s">
        <v>458</v>
      </c>
      <c r="E113" s="25" t="s">
        <v>473</v>
      </c>
      <c r="F113" s="25">
        <v>484</v>
      </c>
      <c r="G113" s="25" t="s">
        <v>58</v>
      </c>
      <c r="H113" s="25" t="s">
        <v>212</v>
      </c>
      <c r="I113" s="50">
        <v>20.658055555555549</v>
      </c>
      <c r="J113" s="50">
        <v>-103.20083333333331</v>
      </c>
      <c r="K113" s="25" t="s">
        <v>62</v>
      </c>
      <c r="L113" s="16" t="s">
        <v>1175</v>
      </c>
      <c r="M113" s="25" t="s">
        <v>60</v>
      </c>
      <c r="N113" s="26" t="s">
        <v>61</v>
      </c>
      <c r="O113" s="25">
        <v>19332.074219999999</v>
      </c>
      <c r="P113" s="25">
        <v>127504125</v>
      </c>
      <c r="Q113" s="27">
        <v>0.42179361700000001</v>
      </c>
      <c r="R113" s="25" t="s">
        <v>64</v>
      </c>
      <c r="S113" s="28" t="s">
        <v>65</v>
      </c>
      <c r="T113" s="39">
        <v>40.112861988834155</v>
      </c>
      <c r="U113" s="26" t="s">
        <v>66</v>
      </c>
      <c r="V113" s="26" t="s">
        <v>1159</v>
      </c>
      <c r="W113" s="26">
        <v>373221.0843917345</v>
      </c>
      <c r="X113" s="16" t="s">
        <v>67</v>
      </c>
      <c r="Y113" s="26">
        <v>37.322108439173455</v>
      </c>
      <c r="Z113" s="26" t="s">
        <v>67</v>
      </c>
      <c r="AA113" s="26">
        <v>805831.35248199396</v>
      </c>
      <c r="AB113" s="29" t="s">
        <v>68</v>
      </c>
      <c r="AC113" s="29" t="s">
        <v>1149</v>
      </c>
      <c r="AD113" s="39">
        <v>1.25</v>
      </c>
      <c r="AE113" s="26">
        <v>8</v>
      </c>
      <c r="AF113" s="29" t="s">
        <v>1151</v>
      </c>
      <c r="AG113" s="25">
        <v>381936.2382778743</v>
      </c>
      <c r="AH113" s="25" t="s">
        <v>65</v>
      </c>
      <c r="AI113" s="25" t="s">
        <v>69</v>
      </c>
      <c r="AJ113" s="25" t="s">
        <v>65</v>
      </c>
      <c r="AK113" s="16" t="s">
        <v>474</v>
      </c>
      <c r="AL113" s="27">
        <f t="shared" si="29"/>
        <v>1.6139777103657147</v>
      </c>
      <c r="AM113" s="27">
        <f t="shared" si="30"/>
        <v>5.5719673340179146</v>
      </c>
      <c r="AN113" s="27">
        <f t="shared" si="31"/>
        <v>1.5834493954562996</v>
      </c>
      <c r="AO113" s="27">
        <f t="shared" si="32"/>
        <v>5.9062446994166589</v>
      </c>
      <c r="AP113" s="27">
        <f t="shared" si="33"/>
        <v>0.60312460727002681</v>
      </c>
      <c r="AQ113" s="27">
        <f t="shared" si="34"/>
        <v>0.7084409964087619</v>
      </c>
      <c r="AR113" s="27">
        <f t="shared" si="35"/>
        <v>0.38250581069610695</v>
      </c>
      <c r="AS113" s="27">
        <f t="shared" si="36"/>
        <v>0.72343928986244443</v>
      </c>
      <c r="AT113" s="27">
        <f t="shared" si="28"/>
        <v>60.4</v>
      </c>
      <c r="AU113" s="27" t="b">
        <f t="shared" si="27"/>
        <v>0</v>
      </c>
    </row>
    <row r="114" spans="1:52" s="30" customFormat="1">
      <c r="A114" s="25" t="s">
        <v>475</v>
      </c>
      <c r="B114" s="26" t="s">
        <v>1161</v>
      </c>
      <c r="C114" s="26" t="s">
        <v>1126</v>
      </c>
      <c r="D114" s="26" t="s">
        <v>458</v>
      </c>
      <c r="E114" s="25" t="s">
        <v>473</v>
      </c>
      <c r="F114" s="25">
        <v>484</v>
      </c>
      <c r="G114" s="25" t="s">
        <v>58</v>
      </c>
      <c r="H114" s="25" t="s">
        <v>212</v>
      </c>
      <c r="I114" s="50">
        <v>20.447500000000002</v>
      </c>
      <c r="J114" s="50">
        <v>-103.4116666666667</v>
      </c>
      <c r="K114" s="25" t="s">
        <v>62</v>
      </c>
      <c r="L114" s="16" t="s">
        <v>1175</v>
      </c>
      <c r="M114" s="25" t="s">
        <v>60</v>
      </c>
      <c r="N114" s="26" t="s">
        <v>61</v>
      </c>
      <c r="O114" s="25">
        <v>19332.074219999999</v>
      </c>
      <c r="P114" s="25">
        <v>127504125</v>
      </c>
      <c r="Q114" s="27">
        <v>0.42179361700000001</v>
      </c>
      <c r="R114" s="25" t="s">
        <v>64</v>
      </c>
      <c r="S114" s="28" t="s">
        <v>65</v>
      </c>
      <c r="T114" s="39">
        <v>1.183942323901132</v>
      </c>
      <c r="U114" s="26" t="s">
        <v>66</v>
      </c>
      <c r="V114" s="26" t="s">
        <v>1160</v>
      </c>
      <c r="W114" s="26">
        <v>95159.406454698124</v>
      </c>
      <c r="X114" s="16" t="s">
        <v>67</v>
      </c>
      <c r="Y114" s="26">
        <v>9.5159406454698132</v>
      </c>
      <c r="Z114" s="26" t="s">
        <v>67</v>
      </c>
      <c r="AA114" s="26">
        <v>326898.92485454702</v>
      </c>
      <c r="AB114" s="29" t="s">
        <v>89</v>
      </c>
      <c r="AC114" s="29" t="s">
        <v>70</v>
      </c>
      <c r="AD114" s="39" t="s">
        <v>70</v>
      </c>
      <c r="AE114" s="29" t="s">
        <v>70</v>
      </c>
      <c r="AF114" s="29" t="s">
        <v>70</v>
      </c>
      <c r="AG114" s="25">
        <v>97381.491180479381</v>
      </c>
      <c r="AH114" s="25" t="s">
        <v>65</v>
      </c>
      <c r="AI114" s="25" t="s">
        <v>69</v>
      </c>
      <c r="AJ114" s="25" t="s">
        <v>65</v>
      </c>
      <c r="AK114" s="16" t="s">
        <v>498</v>
      </c>
      <c r="AL114" s="27">
        <f t="shared" si="29"/>
        <v>0.33924116482838318</v>
      </c>
      <c r="AM114" s="27">
        <f t="shared" si="30"/>
        <v>4.9784562883532022</v>
      </c>
      <c r="AN114" s="27">
        <f t="shared" si="31"/>
        <v>1.0218481261774135</v>
      </c>
      <c r="AO114" s="27">
        <f t="shared" si="32"/>
        <v>5.514414820747823</v>
      </c>
      <c r="AP114" s="27">
        <f t="shared" si="33"/>
        <v>0.12009370993499673</v>
      </c>
      <c r="AQ114" s="27">
        <f t="shared" si="34"/>
        <v>0.51977242532596168</v>
      </c>
      <c r="AR114" s="27">
        <f t="shared" si="35"/>
        <v>0.23900404088326457</v>
      </c>
      <c r="AS114" s="27">
        <f t="shared" si="36"/>
        <v>0.62451638655704422</v>
      </c>
      <c r="AT114" s="27">
        <f t="shared" si="28"/>
        <v>37.6</v>
      </c>
      <c r="AU114" s="27" t="b">
        <f t="shared" si="27"/>
        <v>0</v>
      </c>
      <c r="AV114" s="11"/>
    </row>
    <row r="115" spans="1:52">
      <c r="A115" s="25" t="s">
        <v>476</v>
      </c>
      <c r="B115" s="26" t="s">
        <v>943</v>
      </c>
      <c r="C115" s="26" t="s">
        <v>1036</v>
      </c>
      <c r="D115" s="26" t="s">
        <v>458</v>
      </c>
      <c r="E115" s="25" t="s">
        <v>473</v>
      </c>
      <c r="F115" s="25">
        <v>484</v>
      </c>
      <c r="G115" s="25" t="s">
        <v>58</v>
      </c>
      <c r="H115" s="25" t="s">
        <v>212</v>
      </c>
      <c r="I115" s="50">
        <v>19.273611111111109</v>
      </c>
      <c r="J115" s="50">
        <v>-90.697500000000005</v>
      </c>
      <c r="K115" s="25" t="s">
        <v>859</v>
      </c>
      <c r="L115" s="16" t="s">
        <v>73</v>
      </c>
      <c r="M115" s="25" t="s">
        <v>60</v>
      </c>
      <c r="N115" s="26" t="s">
        <v>61</v>
      </c>
      <c r="O115" s="25">
        <v>19332.074219999999</v>
      </c>
      <c r="P115" s="25">
        <v>127504125</v>
      </c>
      <c r="Q115" s="27">
        <v>0.42179361700000001</v>
      </c>
      <c r="R115" s="25" t="s">
        <v>64</v>
      </c>
      <c r="S115" s="28" t="s">
        <v>65</v>
      </c>
      <c r="T115" s="39">
        <v>15.35882195348055</v>
      </c>
      <c r="U115" s="26" t="s">
        <v>66</v>
      </c>
      <c r="V115" s="26" t="s">
        <v>1160</v>
      </c>
      <c r="W115" s="26">
        <v>15513.083921455353</v>
      </c>
      <c r="X115" s="16" t="s">
        <v>67</v>
      </c>
      <c r="Y115" s="52">
        <f>0.0001 *W115</f>
        <v>1.5513083921455353</v>
      </c>
      <c r="Z115" s="26" t="s">
        <v>67</v>
      </c>
      <c r="AA115" s="29">
        <v>40063.558559035097</v>
      </c>
      <c r="AB115" s="29" t="s">
        <v>68</v>
      </c>
      <c r="AC115" s="29" t="s">
        <v>1149</v>
      </c>
      <c r="AD115" s="39">
        <v>1</v>
      </c>
      <c r="AE115" s="26">
        <v>21</v>
      </c>
      <c r="AF115" s="29" t="s">
        <v>1151</v>
      </c>
      <c r="AG115" s="27">
        <v>15875.33278487212</v>
      </c>
      <c r="AH115" s="25" t="s">
        <v>1036</v>
      </c>
      <c r="AI115" s="25" t="s">
        <v>69</v>
      </c>
      <c r="AJ115" s="25" t="s">
        <v>1036</v>
      </c>
      <c r="AK115" s="16" t="s">
        <v>1037</v>
      </c>
      <c r="AL115" s="27">
        <f t="shared" si="29"/>
        <v>1.2137520256480199</v>
      </c>
      <c r="AM115" s="27">
        <f t="shared" si="30"/>
        <v>4.1907261363750479</v>
      </c>
      <c r="AN115" s="27">
        <f t="shared" si="31"/>
        <v>0.40676295759532277</v>
      </c>
      <c r="AO115" s="27">
        <f t="shared" si="32"/>
        <v>4.6027603619421154</v>
      </c>
      <c r="AP115" s="27">
        <f t="shared" si="33"/>
        <v>0.45146866526184859</v>
      </c>
      <c r="AQ115" s="27">
        <f t="shared" si="34"/>
        <v>0.26936441142605838</v>
      </c>
      <c r="AR115" s="27">
        <f t="shared" si="35"/>
        <v>8.1835930507558607E-2</v>
      </c>
      <c r="AS115" s="27">
        <f t="shared" si="36"/>
        <v>0.3943565371276071</v>
      </c>
      <c r="AT115" s="27">
        <f t="shared" si="28"/>
        <v>29.9</v>
      </c>
      <c r="AU115" s="27" t="b">
        <f t="shared" si="27"/>
        <v>0</v>
      </c>
      <c r="AV115"/>
    </row>
    <row r="116" spans="1:52">
      <c r="A116" s="25" t="s">
        <v>477</v>
      </c>
      <c r="B116" s="26" t="s">
        <v>1127</v>
      </c>
      <c r="C116" s="26" t="s">
        <v>492</v>
      </c>
      <c r="D116" s="26" t="s">
        <v>458</v>
      </c>
      <c r="E116" s="25" t="s">
        <v>473</v>
      </c>
      <c r="F116" s="25">
        <v>484</v>
      </c>
      <c r="G116" s="25" t="s">
        <v>58</v>
      </c>
      <c r="H116" s="25" t="s">
        <v>212</v>
      </c>
      <c r="I116" s="50">
        <v>23.738888888888891</v>
      </c>
      <c r="J116" s="50">
        <v>-99.067499999999995</v>
      </c>
      <c r="K116" s="25" t="s">
        <v>62</v>
      </c>
      <c r="L116" s="16" t="s">
        <v>1175</v>
      </c>
      <c r="M116" s="25" t="s">
        <v>60</v>
      </c>
      <c r="N116" s="26" t="s">
        <v>61</v>
      </c>
      <c r="O116" s="25">
        <v>19332.074219999999</v>
      </c>
      <c r="P116" s="25">
        <v>127504125</v>
      </c>
      <c r="Q116" s="27">
        <v>0.42179361700000001</v>
      </c>
      <c r="R116" s="25" t="s">
        <v>64</v>
      </c>
      <c r="S116" s="28" t="s">
        <v>65</v>
      </c>
      <c r="T116" s="39">
        <v>43.775370749985605</v>
      </c>
      <c r="U116" s="26" t="s">
        <v>66</v>
      </c>
      <c r="V116" s="26" t="s">
        <v>1159</v>
      </c>
      <c r="W116" s="26">
        <v>106378.87168976349</v>
      </c>
      <c r="X116" s="16" t="s">
        <v>67</v>
      </c>
      <c r="Y116" s="26">
        <v>10.637887168976349</v>
      </c>
      <c r="Z116" s="26" t="s">
        <v>67</v>
      </c>
      <c r="AA116" s="26">
        <v>214284.57563098101</v>
      </c>
      <c r="AB116" s="29" t="s">
        <v>68</v>
      </c>
      <c r="AC116" s="29" t="s">
        <v>1149</v>
      </c>
      <c r="AD116" s="39">
        <v>1.1200000000000001</v>
      </c>
      <c r="AE116" s="26">
        <v>50</v>
      </c>
      <c r="AF116" s="29" t="s">
        <v>1151</v>
      </c>
      <c r="AG116" s="25">
        <v>108862.94420276515</v>
      </c>
      <c r="AH116" s="25" t="s">
        <v>65</v>
      </c>
      <c r="AI116" s="25" t="s">
        <v>69</v>
      </c>
      <c r="AJ116" s="25" t="s">
        <v>65</v>
      </c>
      <c r="AK116" s="16" t="s">
        <v>493</v>
      </c>
      <c r="AL116" s="27">
        <f t="shared" si="29"/>
        <v>1.6510391905904447</v>
      </c>
      <c r="AM116" s="27">
        <f t="shared" si="30"/>
        <v>5.0268594621599583</v>
      </c>
      <c r="AN116" s="27">
        <f t="shared" si="31"/>
        <v>1.0658741423290796</v>
      </c>
      <c r="AO116" s="27">
        <f t="shared" si="32"/>
        <v>5.330992938028734</v>
      </c>
      <c r="AP116" s="27">
        <f t="shared" si="33"/>
        <v>0.61716816796669594</v>
      </c>
      <c r="AQ116" s="27">
        <f t="shared" si="34"/>
        <v>0.53515909370340586</v>
      </c>
      <c r="AR116" s="27">
        <f t="shared" si="35"/>
        <v>0.25025367933882781</v>
      </c>
      <c r="AS116" s="27">
        <f t="shared" si="36"/>
        <v>0.57820898082791095</v>
      </c>
      <c r="AT116" s="27">
        <f t="shared" si="28"/>
        <v>49.5</v>
      </c>
      <c r="AU116" s="27" t="b">
        <f t="shared" si="27"/>
        <v>0</v>
      </c>
      <c r="AV116"/>
    </row>
    <row r="117" spans="1:52">
      <c r="A117" s="25" t="s">
        <v>478</v>
      </c>
      <c r="B117" s="26" t="s">
        <v>944</v>
      </c>
      <c r="C117" s="26" t="s">
        <v>1038</v>
      </c>
      <c r="D117" s="26" t="s">
        <v>458</v>
      </c>
      <c r="E117" s="25" t="s">
        <v>473</v>
      </c>
      <c r="F117" s="25">
        <v>484</v>
      </c>
      <c r="G117" s="25" t="s">
        <v>58</v>
      </c>
      <c r="H117" s="25" t="s">
        <v>212</v>
      </c>
      <c r="I117" s="50">
        <v>20.527222222222221</v>
      </c>
      <c r="J117" s="50">
        <v>-104.0658333333333</v>
      </c>
      <c r="K117" s="25" t="s">
        <v>859</v>
      </c>
      <c r="L117" s="16" t="s">
        <v>1175</v>
      </c>
      <c r="M117" s="25" t="s">
        <v>60</v>
      </c>
      <c r="N117" s="26" t="s">
        <v>61</v>
      </c>
      <c r="O117" s="25">
        <v>19332.074219999999</v>
      </c>
      <c r="P117" s="25">
        <v>127504125</v>
      </c>
      <c r="Q117" s="27">
        <v>0.42179361700000001</v>
      </c>
      <c r="R117" s="25" t="s">
        <v>64</v>
      </c>
      <c r="S117" s="28" t="s">
        <v>65</v>
      </c>
      <c r="T117" s="39">
        <v>3.7770249082589062</v>
      </c>
      <c r="U117" s="26" t="s">
        <v>66</v>
      </c>
      <c r="V117" s="26" t="s">
        <v>1160</v>
      </c>
      <c r="W117" s="26">
        <v>23484.710513643076</v>
      </c>
      <c r="X117" s="16" t="s">
        <v>67</v>
      </c>
      <c r="Y117" s="52">
        <f>0.0001 *W117</f>
        <v>2.3484710513643079</v>
      </c>
      <c r="Z117" s="26" t="s">
        <v>67</v>
      </c>
      <c r="AA117" s="29">
        <v>56220.310045883998</v>
      </c>
      <c r="AB117" s="29" t="s">
        <v>68</v>
      </c>
      <c r="AC117" s="29" t="s">
        <v>1149</v>
      </c>
      <c r="AD117" s="39">
        <v>1</v>
      </c>
      <c r="AE117" s="26">
        <v>3</v>
      </c>
      <c r="AF117" s="29" t="s">
        <v>1151</v>
      </c>
      <c r="AG117" s="27">
        <v>24033.106289383904</v>
      </c>
      <c r="AH117" s="25" t="s">
        <v>1039</v>
      </c>
      <c r="AI117" s="25" t="s">
        <v>69</v>
      </c>
      <c r="AJ117" s="25" t="s">
        <v>1039</v>
      </c>
      <c r="AK117" s="16" t="s">
        <v>1040</v>
      </c>
      <c r="AL117" s="27">
        <f t="shared" si="29"/>
        <v>0.67915750577805645</v>
      </c>
      <c r="AM117" s="27">
        <f t="shared" si="30"/>
        <v>4.3708037034371658</v>
      </c>
      <c r="AN117" s="27">
        <f t="shared" si="31"/>
        <v>0.52484654866951497</v>
      </c>
      <c r="AO117" s="27">
        <f t="shared" si="32"/>
        <v>4.7499009611410363</v>
      </c>
      <c r="AP117" s="27">
        <f t="shared" si="33"/>
        <v>0.24889686989974907</v>
      </c>
      <c r="AQ117" s="27">
        <f t="shared" si="34"/>
        <v>0.32660846359635304</v>
      </c>
      <c r="AR117" s="27">
        <f t="shared" si="35"/>
        <v>0.11200894690184261</v>
      </c>
      <c r="AS117" s="27">
        <f t="shared" si="36"/>
        <v>0.43150422815184236</v>
      </c>
      <c r="AT117" s="27">
        <f t="shared" si="28"/>
        <v>28</v>
      </c>
      <c r="AU117" s="27" t="b">
        <f t="shared" si="27"/>
        <v>0</v>
      </c>
      <c r="AV117"/>
      <c r="AW117" s="32"/>
      <c r="AZ117" s="12"/>
    </row>
    <row r="118" spans="1:52" s="30" customFormat="1">
      <c r="A118" s="25" t="s">
        <v>481</v>
      </c>
      <c r="B118" s="26" t="s">
        <v>1041</v>
      </c>
      <c r="C118" s="26" t="s">
        <v>1042</v>
      </c>
      <c r="D118" s="26" t="s">
        <v>458</v>
      </c>
      <c r="E118" s="25" t="s">
        <v>473</v>
      </c>
      <c r="F118" s="25">
        <v>484</v>
      </c>
      <c r="G118" s="25" t="s">
        <v>58</v>
      </c>
      <c r="H118" s="25" t="s">
        <v>212</v>
      </c>
      <c r="I118" s="50">
        <v>18.009722222222219</v>
      </c>
      <c r="J118" s="50">
        <v>-96.172777777777782</v>
      </c>
      <c r="K118" s="25" t="s">
        <v>859</v>
      </c>
      <c r="L118" s="16" t="s">
        <v>73</v>
      </c>
      <c r="M118" s="25" t="s">
        <v>60</v>
      </c>
      <c r="N118" s="26" t="s">
        <v>61</v>
      </c>
      <c r="O118" s="25">
        <v>19332.074219999999</v>
      </c>
      <c r="P118" s="25">
        <v>127504125</v>
      </c>
      <c r="Q118" s="27">
        <v>0.42179361700000001</v>
      </c>
      <c r="R118" s="25" t="s">
        <v>64</v>
      </c>
      <c r="S118" s="28" t="s">
        <v>65</v>
      </c>
      <c r="T118" s="39">
        <v>6.8613563955616206</v>
      </c>
      <c r="U118" s="26" t="s">
        <v>66</v>
      </c>
      <c r="V118" s="26" t="s">
        <v>1160</v>
      </c>
      <c r="W118" s="26">
        <v>28471.11593155672</v>
      </c>
      <c r="X118" s="16" t="s">
        <v>67</v>
      </c>
      <c r="Y118" s="52">
        <f>0.0001 *W118</f>
        <v>2.8471115931556721</v>
      </c>
      <c r="Z118" s="26" t="s">
        <v>67</v>
      </c>
      <c r="AA118" s="29">
        <v>110846.364641976</v>
      </c>
      <c r="AB118" s="29" t="s">
        <v>89</v>
      </c>
      <c r="AC118" s="29" t="s">
        <v>70</v>
      </c>
      <c r="AD118" s="39" t="s">
        <v>70</v>
      </c>
      <c r="AE118" s="29" t="s">
        <v>70</v>
      </c>
      <c r="AF118" s="29" t="s">
        <v>70</v>
      </c>
      <c r="AG118" s="27">
        <v>29135.950173325327</v>
      </c>
      <c r="AH118" s="25" t="s">
        <v>1043</v>
      </c>
      <c r="AI118" s="25" t="s">
        <v>69</v>
      </c>
      <c r="AJ118" s="25" t="s">
        <v>1043</v>
      </c>
      <c r="AK118" s="17" t="s">
        <v>1044</v>
      </c>
      <c r="AL118" s="27">
        <f t="shared" si="29"/>
        <v>0.89549748551591746</v>
      </c>
      <c r="AM118" s="27">
        <f t="shared" si="30"/>
        <v>4.4544197433412815</v>
      </c>
      <c r="AN118" s="27">
        <f t="shared" si="31"/>
        <v>0.58513478406840058</v>
      </c>
      <c r="AO118" s="27">
        <f t="shared" si="32"/>
        <v>5.0447253723710945</v>
      </c>
      <c r="AP118" s="27">
        <f t="shared" si="33"/>
        <v>0.3308737261435406</v>
      </c>
      <c r="AQ118" s="27">
        <f t="shared" si="34"/>
        <v>0.3531887924437187</v>
      </c>
      <c r="AR118" s="27">
        <f t="shared" si="35"/>
        <v>0.12741394854961685</v>
      </c>
      <c r="AS118" s="27">
        <f t="shared" si="36"/>
        <v>0.50593675183600972</v>
      </c>
      <c r="AT118" s="27">
        <f t="shared" si="28"/>
        <v>32.9</v>
      </c>
      <c r="AU118" s="27" t="b">
        <f t="shared" si="27"/>
        <v>0</v>
      </c>
      <c r="AV118" s="11"/>
    </row>
    <row r="119" spans="1:52">
      <c r="A119" s="25" t="s">
        <v>483</v>
      </c>
      <c r="B119" s="26" t="s">
        <v>1045</v>
      </c>
      <c r="C119" s="26" t="s">
        <v>1046</v>
      </c>
      <c r="D119" s="26" t="s">
        <v>458</v>
      </c>
      <c r="E119" s="25" t="s">
        <v>473</v>
      </c>
      <c r="F119" s="25">
        <v>484</v>
      </c>
      <c r="G119" s="25" t="s">
        <v>58</v>
      </c>
      <c r="H119" s="25" t="s">
        <v>212</v>
      </c>
      <c r="I119" s="50">
        <v>21.24527777777778</v>
      </c>
      <c r="J119" s="50">
        <v>-98.722222222222229</v>
      </c>
      <c r="K119" s="25" t="s">
        <v>859</v>
      </c>
      <c r="L119" s="16" t="s">
        <v>73</v>
      </c>
      <c r="M119" s="25" t="s">
        <v>60</v>
      </c>
      <c r="N119" s="26" t="s">
        <v>61</v>
      </c>
      <c r="O119" s="25">
        <v>19332.074219999999</v>
      </c>
      <c r="P119" s="25">
        <v>127504125</v>
      </c>
      <c r="Q119" s="27">
        <v>0.42179361700000001</v>
      </c>
      <c r="R119" s="25" t="s">
        <v>64</v>
      </c>
      <c r="S119" s="28" t="s">
        <v>65</v>
      </c>
      <c r="T119" s="39">
        <v>4.7095707668770102</v>
      </c>
      <c r="U119" s="26" t="s">
        <v>66</v>
      </c>
      <c r="V119" s="26" t="s">
        <v>1160</v>
      </c>
      <c r="W119" s="26">
        <v>35346.852782212904</v>
      </c>
      <c r="X119" s="16" t="s">
        <v>67</v>
      </c>
      <c r="Y119" s="52">
        <f>0.0001 *W119</f>
        <v>3.5346852782212905</v>
      </c>
      <c r="Z119" s="26" t="s">
        <v>67</v>
      </c>
      <c r="AA119" s="29">
        <v>77270.781602106101</v>
      </c>
      <c r="AB119" s="29" t="s">
        <v>89</v>
      </c>
      <c r="AC119" s="29" t="s">
        <v>70</v>
      </c>
      <c r="AD119" s="39" t="s">
        <v>70</v>
      </c>
      <c r="AE119" s="29" t="s">
        <v>70</v>
      </c>
      <c r="AF119" s="29" t="s">
        <v>70</v>
      </c>
      <c r="AG119" s="27">
        <v>36172.243614270934</v>
      </c>
      <c r="AH119" s="25" t="s">
        <v>1047</v>
      </c>
      <c r="AI119" s="25" t="s">
        <v>69</v>
      </c>
      <c r="AJ119" s="25" t="s">
        <v>1047</v>
      </c>
      <c r="AK119" s="16" t="s">
        <v>1048</v>
      </c>
      <c r="AL119" s="27">
        <f t="shared" si="29"/>
        <v>0.75660346015763913</v>
      </c>
      <c r="AM119" s="27">
        <f t="shared" si="30"/>
        <v>4.5483630375626474</v>
      </c>
      <c r="AN119" s="27">
        <f t="shared" si="31"/>
        <v>0.65654715100475758</v>
      </c>
      <c r="AO119" s="27">
        <f t="shared" si="32"/>
        <v>4.8880209255884193</v>
      </c>
      <c r="AP119" s="27">
        <f t="shared" si="33"/>
        <v>0.2782431602919877</v>
      </c>
      <c r="AQ119" s="27">
        <f t="shared" si="34"/>
        <v>0.38305200596437983</v>
      </c>
      <c r="AR119" s="27">
        <f t="shared" si="35"/>
        <v>0.14566141628602322</v>
      </c>
      <c r="AS119" s="27">
        <f t="shared" si="36"/>
        <v>0.46637453445413829</v>
      </c>
      <c r="AT119" s="27">
        <f t="shared" si="28"/>
        <v>31.8</v>
      </c>
      <c r="AU119" s="27" t="b">
        <f t="shared" si="27"/>
        <v>0</v>
      </c>
      <c r="AV119"/>
      <c r="AW119" s="32"/>
      <c r="AZ119" s="12"/>
    </row>
    <row r="120" spans="1:52">
      <c r="A120" s="25" t="s">
        <v>485</v>
      </c>
      <c r="B120" s="26" t="s">
        <v>1049</v>
      </c>
      <c r="C120" s="26" t="s">
        <v>1050</v>
      </c>
      <c r="D120" s="26" t="s">
        <v>458</v>
      </c>
      <c r="E120" s="25" t="s">
        <v>473</v>
      </c>
      <c r="F120" s="25">
        <v>484</v>
      </c>
      <c r="G120" s="25" t="s">
        <v>58</v>
      </c>
      <c r="H120" s="25" t="s">
        <v>212</v>
      </c>
      <c r="I120" s="50">
        <v>17.99722222222222</v>
      </c>
      <c r="J120" s="50">
        <v>-93.500277777777782</v>
      </c>
      <c r="K120" s="25" t="s">
        <v>859</v>
      </c>
      <c r="L120" s="16" t="s">
        <v>73</v>
      </c>
      <c r="M120" s="25" t="s">
        <v>60</v>
      </c>
      <c r="N120" s="26" t="s">
        <v>61</v>
      </c>
      <c r="O120" s="25">
        <v>19332.074219999999</v>
      </c>
      <c r="P120" s="25">
        <v>127504125</v>
      </c>
      <c r="Q120" s="27">
        <v>0.42179361700000001</v>
      </c>
      <c r="R120" s="25" t="s">
        <v>64</v>
      </c>
      <c r="S120" s="28" t="s">
        <v>65</v>
      </c>
      <c r="T120" s="39">
        <v>3.2963278949218804</v>
      </c>
      <c r="U120" s="26" t="s">
        <v>66</v>
      </c>
      <c r="V120" s="26" t="s">
        <v>1160</v>
      </c>
      <c r="W120" s="26">
        <v>26326.511239037853</v>
      </c>
      <c r="X120" s="16" t="s">
        <v>67</v>
      </c>
      <c r="Y120" s="52">
        <f>0.0001 *W120</f>
        <v>2.6326511239037855</v>
      </c>
      <c r="Z120" s="26" t="s">
        <v>67</v>
      </c>
      <c r="AA120" s="29">
        <v>56086.183111218801</v>
      </c>
      <c r="AB120" s="29" t="s">
        <v>68</v>
      </c>
      <c r="AC120" s="29" t="s">
        <v>1149</v>
      </c>
      <c r="AD120" s="39">
        <v>1</v>
      </c>
      <c r="AE120" s="26">
        <v>4</v>
      </c>
      <c r="AF120" s="29" t="s">
        <v>1151</v>
      </c>
      <c r="AG120" s="27">
        <v>26941.266423909918</v>
      </c>
      <c r="AH120" s="26" t="s">
        <v>1051</v>
      </c>
      <c r="AI120" s="25" t="s">
        <v>69</v>
      </c>
      <c r="AJ120" s="26" t="s">
        <v>1051</v>
      </c>
      <c r="AK120" s="16" t="s">
        <v>1052</v>
      </c>
      <c r="AL120" s="27">
        <f t="shared" si="29"/>
        <v>0.63309741922804375</v>
      </c>
      <c r="AM120" s="27">
        <f t="shared" si="30"/>
        <v>4.4204098068372462</v>
      </c>
      <c r="AN120" s="27">
        <f t="shared" si="31"/>
        <v>0.56022369066786415</v>
      </c>
      <c r="AO120" s="27">
        <f t="shared" si="32"/>
        <v>4.7488636288136901</v>
      </c>
      <c r="AP120" s="27">
        <f t="shared" si="33"/>
        <v>0.23144350275853831</v>
      </c>
      <c r="AQ120" s="27">
        <f t="shared" si="34"/>
        <v>0.34237752588060572</v>
      </c>
      <c r="AR120" s="27">
        <f t="shared" si="35"/>
        <v>0.12104860326551495</v>
      </c>
      <c r="AS120" s="27">
        <f t="shared" si="36"/>
        <v>0.43124233917629445</v>
      </c>
      <c r="AT120" s="27">
        <f t="shared" si="28"/>
        <v>28.2</v>
      </c>
      <c r="AU120" s="27" t="b">
        <f t="shared" si="27"/>
        <v>0</v>
      </c>
      <c r="AV120"/>
      <c r="AW120" s="32"/>
      <c r="AZ120" s="12"/>
    </row>
    <row r="121" spans="1:52" s="30" customFormat="1">
      <c r="A121" s="25" t="s">
        <v>486</v>
      </c>
      <c r="B121" s="26" t="s">
        <v>1053</v>
      </c>
      <c r="C121" s="26" t="s">
        <v>1054</v>
      </c>
      <c r="D121" s="26" t="s">
        <v>458</v>
      </c>
      <c r="E121" s="25" t="s">
        <v>473</v>
      </c>
      <c r="F121" s="25">
        <v>484</v>
      </c>
      <c r="G121" s="25" t="s">
        <v>58</v>
      </c>
      <c r="H121" s="25" t="s">
        <v>212</v>
      </c>
      <c r="I121" s="50">
        <v>17.790277777777781</v>
      </c>
      <c r="J121" s="50">
        <v>-93.360277777777767</v>
      </c>
      <c r="K121" s="25" t="s">
        <v>859</v>
      </c>
      <c r="L121" s="16" t="s">
        <v>73</v>
      </c>
      <c r="M121" s="25" t="s">
        <v>60</v>
      </c>
      <c r="N121" s="26" t="s">
        <v>61</v>
      </c>
      <c r="O121" s="25">
        <v>19332.074219999999</v>
      </c>
      <c r="P121" s="25">
        <v>127504125</v>
      </c>
      <c r="Q121" s="27">
        <v>0.42179361700000001</v>
      </c>
      <c r="R121" s="25" t="s">
        <v>64</v>
      </c>
      <c r="S121" s="28" t="s">
        <v>65</v>
      </c>
      <c r="T121" s="39">
        <v>2.1338545804187659</v>
      </c>
      <c r="U121" s="26" t="s">
        <v>66</v>
      </c>
      <c r="V121" s="26" t="s">
        <v>1160</v>
      </c>
      <c r="W121" s="26">
        <v>25330.439969881558</v>
      </c>
      <c r="X121" s="16" t="s">
        <v>67</v>
      </c>
      <c r="Y121" s="52">
        <f>0.0001 *W121</f>
        <v>2.5330439969881557</v>
      </c>
      <c r="Z121" s="26" t="s">
        <v>67</v>
      </c>
      <c r="AA121" s="29">
        <v>59278.085880619197</v>
      </c>
      <c r="AB121" s="29" t="s">
        <v>68</v>
      </c>
      <c r="AC121" s="29" t="s">
        <v>1149</v>
      </c>
      <c r="AD121" s="39">
        <v>0.5</v>
      </c>
      <c r="AE121" s="26">
        <v>2</v>
      </c>
      <c r="AF121" s="29" t="s">
        <v>1151</v>
      </c>
      <c r="AG121" s="27">
        <v>25921.935712146296</v>
      </c>
      <c r="AH121" s="25" t="s">
        <v>1051</v>
      </c>
      <c r="AI121" s="25" t="s">
        <v>69</v>
      </c>
      <c r="AJ121" s="25" t="s">
        <v>1051</v>
      </c>
      <c r="AK121" s="17" t="s">
        <v>1055</v>
      </c>
      <c r="AL121" s="27">
        <f t="shared" si="29"/>
        <v>0.4960788401265247</v>
      </c>
      <c r="AM121" s="27">
        <f t="shared" si="30"/>
        <v>4.4036598780336851</v>
      </c>
      <c r="AN121" s="27">
        <f t="shared" si="31"/>
        <v>0.54814904573662926</v>
      </c>
      <c r="AO121" s="27">
        <f t="shared" si="32"/>
        <v>4.7729014979391557</v>
      </c>
      <c r="AP121" s="27">
        <f t="shared" si="33"/>
        <v>0.1795235923686786</v>
      </c>
      <c r="AQ121" s="27">
        <f t="shared" si="34"/>
        <v>0.33705296594833489</v>
      </c>
      <c r="AR121" s="27">
        <f t="shared" si="35"/>
        <v>0.11796325960217395</v>
      </c>
      <c r="AS121" s="27">
        <f t="shared" si="36"/>
        <v>0.43731103360879853</v>
      </c>
      <c r="AT121" s="27">
        <f t="shared" si="28"/>
        <v>26.8</v>
      </c>
      <c r="AU121" s="27" t="b">
        <f t="shared" si="27"/>
        <v>0</v>
      </c>
      <c r="AV121" s="11"/>
    </row>
    <row r="122" spans="1:52">
      <c r="A122" s="25" t="s">
        <v>488</v>
      </c>
      <c r="B122" s="26" t="s">
        <v>479</v>
      </c>
      <c r="C122" s="26" t="s">
        <v>1128</v>
      </c>
      <c r="D122" s="26" t="s">
        <v>458</v>
      </c>
      <c r="E122" s="25" t="s">
        <v>473</v>
      </c>
      <c r="F122" s="25">
        <v>484</v>
      </c>
      <c r="G122" s="25" t="s">
        <v>58</v>
      </c>
      <c r="H122" s="25" t="s">
        <v>212</v>
      </c>
      <c r="I122" s="50">
        <v>20.96833333333333</v>
      </c>
      <c r="J122" s="50">
        <v>-89.711111111111109</v>
      </c>
      <c r="K122" s="25" t="s">
        <v>62</v>
      </c>
      <c r="L122" s="16" t="s">
        <v>73</v>
      </c>
      <c r="M122" s="25" t="s">
        <v>60</v>
      </c>
      <c r="N122" s="26" t="s">
        <v>61</v>
      </c>
      <c r="O122" s="25">
        <v>19332.074219999999</v>
      </c>
      <c r="P122" s="25">
        <v>127504125</v>
      </c>
      <c r="Q122" s="27">
        <v>0.42179361700000001</v>
      </c>
      <c r="R122" s="25" t="s">
        <v>64</v>
      </c>
      <c r="S122" s="28" t="s">
        <v>65</v>
      </c>
      <c r="T122" s="39">
        <v>43.149400925603928</v>
      </c>
      <c r="U122" s="26" t="s">
        <v>66</v>
      </c>
      <c r="V122" s="26" t="s">
        <v>1159</v>
      </c>
      <c r="W122" s="26">
        <v>197592.74993750779</v>
      </c>
      <c r="X122" s="16" t="s">
        <v>67</v>
      </c>
      <c r="Y122" s="26">
        <v>19.759274993750779</v>
      </c>
      <c r="Z122" s="26" t="s">
        <v>67</v>
      </c>
      <c r="AA122" s="26">
        <v>428204.56741404103</v>
      </c>
      <c r="AB122" s="29" t="s">
        <v>68</v>
      </c>
      <c r="AC122" s="29" t="s">
        <v>1149</v>
      </c>
      <c r="AD122" s="39">
        <v>0.88235294117647001</v>
      </c>
      <c r="AE122" s="26">
        <v>17</v>
      </c>
      <c r="AF122" s="29" t="s">
        <v>1151</v>
      </c>
      <c r="AG122" s="25">
        <v>202206.77442462224</v>
      </c>
      <c r="AH122" s="26" t="s">
        <v>65</v>
      </c>
      <c r="AI122" s="25" t="s">
        <v>69</v>
      </c>
      <c r="AJ122" s="25" t="s">
        <v>65</v>
      </c>
      <c r="AK122" s="16" t="s">
        <v>480</v>
      </c>
      <c r="AL122" s="27">
        <f t="shared" si="29"/>
        <v>1.6449248149018174</v>
      </c>
      <c r="AM122" s="27">
        <f t="shared" si="30"/>
        <v>5.2957732033559592</v>
      </c>
      <c r="AN122" s="27">
        <f t="shared" si="31"/>
        <v>1.3172121819456117</v>
      </c>
      <c r="AO122" s="27">
        <f t="shared" si="32"/>
        <v>5.6316523095756033</v>
      </c>
      <c r="AP122" s="27">
        <f t="shared" si="33"/>
        <v>0.61485127167478315</v>
      </c>
      <c r="AQ122" s="27">
        <f t="shared" si="34"/>
        <v>0.62064287983776056</v>
      </c>
      <c r="AR122" s="27">
        <f t="shared" si="35"/>
        <v>0.31447620781098456</v>
      </c>
      <c r="AS122" s="27">
        <f t="shared" si="36"/>
        <v>0.65411462140957399</v>
      </c>
      <c r="AT122" s="27">
        <f t="shared" si="28"/>
        <v>55.1</v>
      </c>
      <c r="AU122" s="27" t="b">
        <f t="shared" si="27"/>
        <v>0</v>
      </c>
      <c r="AV122"/>
    </row>
    <row r="123" spans="1:52" s="30" customFormat="1">
      <c r="A123" s="25" t="s">
        <v>489</v>
      </c>
      <c r="B123" s="26" t="s">
        <v>1056</v>
      </c>
      <c r="C123" s="26" t="s">
        <v>1057</v>
      </c>
      <c r="D123" s="26" t="s">
        <v>458</v>
      </c>
      <c r="E123" s="25" t="s">
        <v>473</v>
      </c>
      <c r="F123" s="25">
        <v>484</v>
      </c>
      <c r="G123" s="25" t="s">
        <v>58</v>
      </c>
      <c r="H123" s="25" t="s">
        <v>212</v>
      </c>
      <c r="I123" s="50">
        <v>17.438333333333329</v>
      </c>
      <c r="J123" s="50">
        <v>-91.397222222222226</v>
      </c>
      <c r="K123" s="25" t="s">
        <v>859</v>
      </c>
      <c r="L123" s="16" t="s">
        <v>73</v>
      </c>
      <c r="M123" s="25" t="s">
        <v>60</v>
      </c>
      <c r="N123" s="26" t="s">
        <v>61</v>
      </c>
      <c r="O123" s="25">
        <v>19332.074219999999</v>
      </c>
      <c r="P123" s="25">
        <v>127504125</v>
      </c>
      <c r="Q123" s="27">
        <v>0.42179361700000001</v>
      </c>
      <c r="R123" s="25" t="s">
        <v>64</v>
      </c>
      <c r="S123" s="28" t="s">
        <v>65</v>
      </c>
      <c r="T123" s="39">
        <v>5.369976988917589</v>
      </c>
      <c r="U123" s="26" t="s">
        <v>66</v>
      </c>
      <c r="V123" s="26" t="s">
        <v>1160</v>
      </c>
      <c r="W123" s="26">
        <v>20369.682910592976</v>
      </c>
      <c r="X123" s="16" t="s">
        <v>67</v>
      </c>
      <c r="Y123" s="52">
        <f>0.0001 *W123</f>
        <v>2.0369682910592974</v>
      </c>
      <c r="Z123" s="26" t="s">
        <v>67</v>
      </c>
      <c r="AA123" s="29">
        <v>47306.114414369702</v>
      </c>
      <c r="AB123" s="29" t="s">
        <v>68</v>
      </c>
      <c r="AC123" s="29" t="s">
        <v>1149</v>
      </c>
      <c r="AD123" s="39">
        <v>1</v>
      </c>
      <c r="AE123" s="26">
        <v>11</v>
      </c>
      <c r="AF123" s="29" t="s">
        <v>1151</v>
      </c>
      <c r="AG123" s="27">
        <v>20845.339106348929</v>
      </c>
      <c r="AH123" s="25" t="s">
        <v>1051</v>
      </c>
      <c r="AI123" s="25" t="s">
        <v>69</v>
      </c>
      <c r="AJ123" s="25" t="s">
        <v>1051</v>
      </c>
      <c r="AK123" s="17" t="s">
        <v>1055</v>
      </c>
      <c r="AL123" s="27">
        <f t="shared" si="29"/>
        <v>0.8041378634806936</v>
      </c>
      <c r="AM123" s="27">
        <f t="shared" si="30"/>
        <v>4.3090055886138474</v>
      </c>
      <c r="AN123" s="27">
        <f t="shared" si="31"/>
        <v>0.4824402574797188</v>
      </c>
      <c r="AO123" s="27">
        <f t="shared" si="32"/>
        <v>4.6749264582549497</v>
      </c>
      <c r="AP123" s="27">
        <f t="shared" si="33"/>
        <v>0.29625518447988902</v>
      </c>
      <c r="AQ123" s="27">
        <f t="shared" si="34"/>
        <v>0.3069637373448505</v>
      </c>
      <c r="AR123" s="27">
        <f t="shared" si="35"/>
        <v>0.10117318464520043</v>
      </c>
      <c r="AS123" s="27">
        <f t="shared" si="36"/>
        <v>0.41257587198725493</v>
      </c>
      <c r="AT123" s="27">
        <f t="shared" si="28"/>
        <v>27.9</v>
      </c>
      <c r="AU123" s="27" t="b">
        <f t="shared" si="27"/>
        <v>0</v>
      </c>
      <c r="AV123" s="11"/>
    </row>
    <row r="124" spans="1:52" s="30" customFormat="1">
      <c r="A124" s="25" t="s">
        <v>490</v>
      </c>
      <c r="B124" s="26" t="s">
        <v>1058</v>
      </c>
      <c r="C124" s="26" t="s">
        <v>1059</v>
      </c>
      <c r="D124" s="26" t="s">
        <v>458</v>
      </c>
      <c r="E124" s="25" t="s">
        <v>473</v>
      </c>
      <c r="F124" s="25">
        <v>484</v>
      </c>
      <c r="G124" s="25" t="s">
        <v>58</v>
      </c>
      <c r="H124" s="25" t="s">
        <v>212</v>
      </c>
      <c r="I124" s="50">
        <v>21.183611111111109</v>
      </c>
      <c r="J124" s="50">
        <v>-89.686388888888899</v>
      </c>
      <c r="K124" s="25" t="s">
        <v>859</v>
      </c>
      <c r="L124" s="16" t="s">
        <v>73</v>
      </c>
      <c r="M124" s="25" t="s">
        <v>60</v>
      </c>
      <c r="N124" s="26" t="s">
        <v>61</v>
      </c>
      <c r="O124" s="25">
        <v>19332.074219999999</v>
      </c>
      <c r="P124" s="25">
        <v>127504125</v>
      </c>
      <c r="Q124" s="27">
        <v>0.42179361700000001</v>
      </c>
      <c r="R124" s="25" t="s">
        <v>64</v>
      </c>
      <c r="S124" s="28" t="s">
        <v>65</v>
      </c>
      <c r="T124" s="39">
        <v>3.2641921399332579</v>
      </c>
      <c r="U124" s="26" t="s">
        <v>66</v>
      </c>
      <c r="V124" s="26" t="s">
        <v>1160</v>
      </c>
      <c r="W124" s="26">
        <v>5111.4588440637945</v>
      </c>
      <c r="X124" s="16" t="s">
        <v>67</v>
      </c>
      <c r="Y124" s="52">
        <f>0.0001 *W124</f>
        <v>0.51114588440637942</v>
      </c>
      <c r="Z124" s="26" t="s">
        <v>67</v>
      </c>
      <c r="AA124" s="29">
        <v>12582.959930810701</v>
      </c>
      <c r="AB124" s="29" t="s">
        <v>68</v>
      </c>
      <c r="AC124" s="29" t="s">
        <v>1149</v>
      </c>
      <c r="AD124" s="39">
        <v>1</v>
      </c>
      <c r="AE124" s="26">
        <v>7</v>
      </c>
      <c r="AF124" s="29" t="s">
        <v>1151</v>
      </c>
      <c r="AG124" s="27">
        <v>5230.8174555454716</v>
      </c>
      <c r="AH124" s="25" t="s">
        <v>1060</v>
      </c>
      <c r="AI124" s="25" t="s">
        <v>69</v>
      </c>
      <c r="AJ124" s="25" t="s">
        <v>1060</v>
      </c>
      <c r="AK124" s="17" t="s">
        <v>1061</v>
      </c>
      <c r="AL124" s="27">
        <f t="shared" si="29"/>
        <v>0.62983676530387245</v>
      </c>
      <c r="AM124" s="27">
        <f t="shared" si="30"/>
        <v>3.7086298249043108</v>
      </c>
      <c r="AN124" s="27">
        <f t="shared" si="31"/>
        <v>0.17930639268739693</v>
      </c>
      <c r="AO124" s="27">
        <f t="shared" si="32"/>
        <v>4.0998173267595792</v>
      </c>
      <c r="AP124" s="27">
        <f t="shared" si="33"/>
        <v>0.2302079560125026</v>
      </c>
      <c r="AQ124" s="27">
        <f t="shared" si="34"/>
        <v>0.11611297175385409</v>
      </c>
      <c r="AR124" s="27">
        <f t="shared" si="35"/>
        <v>2.3715656559908243E-2</v>
      </c>
      <c r="AS124" s="27">
        <f t="shared" si="36"/>
        <v>0.2673815718531084</v>
      </c>
      <c r="AT124" s="27">
        <f t="shared" si="28"/>
        <v>15.9</v>
      </c>
      <c r="AU124" s="27" t="b">
        <f t="shared" si="27"/>
        <v>0</v>
      </c>
      <c r="AV124" s="11"/>
    </row>
    <row r="125" spans="1:52" s="30" customFormat="1">
      <c r="A125" s="25" t="s">
        <v>491</v>
      </c>
      <c r="B125" s="26" t="s">
        <v>936</v>
      </c>
      <c r="C125" s="26" t="s">
        <v>495</v>
      </c>
      <c r="D125" s="26" t="s">
        <v>458</v>
      </c>
      <c r="E125" s="25" t="s">
        <v>473</v>
      </c>
      <c r="F125" s="25">
        <v>484</v>
      </c>
      <c r="G125" s="25" t="s">
        <v>58</v>
      </c>
      <c r="H125" s="25" t="s">
        <v>212</v>
      </c>
      <c r="I125" s="50">
        <v>20.877500000000001</v>
      </c>
      <c r="J125" s="50">
        <v>-89.534444444444446</v>
      </c>
      <c r="K125" s="25" t="s">
        <v>62</v>
      </c>
      <c r="L125" s="16" t="s">
        <v>73</v>
      </c>
      <c r="M125" s="25" t="s">
        <v>60</v>
      </c>
      <c r="N125" s="26" t="s">
        <v>61</v>
      </c>
      <c r="O125" s="25">
        <v>19332.074219999999</v>
      </c>
      <c r="P125" s="25">
        <v>127504125</v>
      </c>
      <c r="Q125" s="27">
        <v>0.42179361700000001</v>
      </c>
      <c r="R125" s="25" t="s">
        <v>64</v>
      </c>
      <c r="S125" s="28">
        <v>2012</v>
      </c>
      <c r="T125" s="39">
        <v>7.3571432782768271</v>
      </c>
      <c r="U125" s="26" t="s">
        <v>66</v>
      </c>
      <c r="V125" s="26" t="s">
        <v>1160</v>
      </c>
      <c r="W125" s="26">
        <v>104705.63599716255</v>
      </c>
      <c r="X125" s="16" t="s">
        <v>67</v>
      </c>
      <c r="Y125" s="26">
        <v>10.470563599716256</v>
      </c>
      <c r="Z125" s="26" t="s">
        <v>67</v>
      </c>
      <c r="AA125" s="26">
        <v>178871.95529990899</v>
      </c>
      <c r="AB125" s="29" t="s">
        <v>68</v>
      </c>
      <c r="AC125" s="29" t="s">
        <v>1149</v>
      </c>
      <c r="AD125" s="39">
        <v>1</v>
      </c>
      <c r="AE125" s="26">
        <v>2</v>
      </c>
      <c r="AF125" s="29" t="s">
        <v>1151</v>
      </c>
      <c r="AG125" s="25">
        <v>107150.63647710216</v>
      </c>
      <c r="AH125" s="25" t="s">
        <v>65</v>
      </c>
      <c r="AI125" s="25" t="s">
        <v>69</v>
      </c>
      <c r="AJ125" s="25" t="s">
        <v>65</v>
      </c>
      <c r="AK125" s="17" t="s">
        <v>496</v>
      </c>
      <c r="AL125" s="27">
        <f t="shared" si="29"/>
        <v>0.92205784795293355</v>
      </c>
      <c r="AM125" s="27">
        <f t="shared" si="30"/>
        <v>5.019974206851928</v>
      </c>
      <c r="AN125" s="27">
        <f t="shared" si="31"/>
        <v>1.0595847572415813</v>
      </c>
      <c r="AO125" s="27">
        <f t="shared" si="32"/>
        <v>5.2525446823678772</v>
      </c>
      <c r="AP125" s="27">
        <f t="shared" si="33"/>
        <v>0.34093813964640096</v>
      </c>
      <c r="AQ125" s="27">
        <f t="shared" si="34"/>
        <v>0.53297037069648789</v>
      </c>
      <c r="AR125" s="27">
        <f t="shared" si="35"/>
        <v>0.24864659983160126</v>
      </c>
      <c r="AS125" s="27">
        <f t="shared" si="36"/>
        <v>0.55840362745470618</v>
      </c>
      <c r="AT125" s="27">
        <f t="shared" si="28"/>
        <v>42</v>
      </c>
      <c r="AU125" s="27" t="b">
        <f t="shared" si="27"/>
        <v>0</v>
      </c>
      <c r="AV125" s="11"/>
    </row>
    <row r="126" spans="1:52" s="30" customFormat="1">
      <c r="A126" s="25" t="s">
        <v>494</v>
      </c>
      <c r="B126" s="26" t="s">
        <v>939</v>
      </c>
      <c r="C126" s="26" t="s">
        <v>940</v>
      </c>
      <c r="D126" s="26" t="s">
        <v>458</v>
      </c>
      <c r="E126" s="25" t="s">
        <v>473</v>
      </c>
      <c r="F126" s="25">
        <v>484</v>
      </c>
      <c r="G126" s="25" t="s">
        <v>58</v>
      </c>
      <c r="H126" s="25" t="s">
        <v>212</v>
      </c>
      <c r="I126" s="50">
        <v>20.285555555555561</v>
      </c>
      <c r="J126" s="50">
        <v>-101.9861111111111</v>
      </c>
      <c r="K126" s="25" t="s">
        <v>859</v>
      </c>
      <c r="L126" s="16" t="s">
        <v>73</v>
      </c>
      <c r="M126" s="25" t="s">
        <v>60</v>
      </c>
      <c r="N126" s="26" t="s">
        <v>61</v>
      </c>
      <c r="O126" s="25">
        <v>19332.074219999999</v>
      </c>
      <c r="P126" s="25">
        <v>127504125</v>
      </c>
      <c r="Q126" s="27">
        <v>0.42179361700000001</v>
      </c>
      <c r="R126" s="25" t="s">
        <v>64</v>
      </c>
      <c r="S126" s="28" t="s">
        <v>65</v>
      </c>
      <c r="T126" s="39">
        <v>9.637427632460744</v>
      </c>
      <c r="U126" s="26" t="s">
        <v>66</v>
      </c>
      <c r="V126" s="26" t="s">
        <v>1159</v>
      </c>
      <c r="W126" s="26">
        <v>56939.262363751288</v>
      </c>
      <c r="X126" s="16" t="s">
        <v>67</v>
      </c>
      <c r="Y126" s="52">
        <f>0.0001 *W126</f>
        <v>5.6939262363751286</v>
      </c>
      <c r="Z126" s="26" t="s">
        <v>67</v>
      </c>
      <c r="AA126" s="29">
        <v>127299.051115243</v>
      </c>
      <c r="AB126" s="29" t="s">
        <v>68</v>
      </c>
      <c r="AC126" s="29" t="s">
        <v>1149</v>
      </c>
      <c r="AD126" s="39">
        <v>0.875</v>
      </c>
      <c r="AE126" s="26">
        <v>8</v>
      </c>
      <c r="AF126" s="29" t="s">
        <v>1151</v>
      </c>
      <c r="AG126" s="27">
        <v>58268.861505965091</v>
      </c>
      <c r="AH126" s="25"/>
      <c r="AI126" s="25" t="s">
        <v>69</v>
      </c>
      <c r="AJ126" s="25"/>
      <c r="AK126" s="17"/>
      <c r="AL126" s="27">
        <f t="shared" si="29"/>
        <v>1.0268366185516455</v>
      </c>
      <c r="AM126" s="27">
        <f t="shared" si="30"/>
        <v>4.7554194639150271</v>
      </c>
      <c r="AN126" s="27">
        <f t="shared" si="31"/>
        <v>0.82568092234626511</v>
      </c>
      <c r="AO126" s="27">
        <f t="shared" si="32"/>
        <v>5.1048285780375009</v>
      </c>
      <c r="AP126" s="27">
        <f t="shared" si="33"/>
        <v>0.38064154641004966</v>
      </c>
      <c r="AQ126" s="27">
        <f t="shared" si="34"/>
        <v>0.44887224701762429</v>
      </c>
      <c r="AR126" s="27">
        <f t="shared" si="35"/>
        <v>0.18887890322972556</v>
      </c>
      <c r="AS126" s="27">
        <f t="shared" si="36"/>
        <v>0.52111064215463843</v>
      </c>
      <c r="AT126" s="27">
        <f t="shared" si="28"/>
        <v>38.5</v>
      </c>
      <c r="AU126" s="27" t="b">
        <f t="shared" si="27"/>
        <v>0</v>
      </c>
      <c r="AV126" s="11"/>
    </row>
    <row r="127" spans="1:52" s="30" customFormat="1">
      <c r="A127" s="25" t="s">
        <v>497</v>
      </c>
      <c r="B127" s="26" t="s">
        <v>1129</v>
      </c>
      <c r="C127" s="26" t="s">
        <v>1130</v>
      </c>
      <c r="D127" s="26" t="s">
        <v>458</v>
      </c>
      <c r="E127" s="25" t="s">
        <v>473</v>
      </c>
      <c r="F127" s="25">
        <v>484</v>
      </c>
      <c r="G127" s="25" t="s">
        <v>58</v>
      </c>
      <c r="H127" s="25" t="s">
        <v>212</v>
      </c>
      <c r="I127" s="50">
        <v>14.92888888888889</v>
      </c>
      <c r="J127" s="50">
        <v>-92.327222222222218</v>
      </c>
      <c r="K127" s="25" t="s">
        <v>62</v>
      </c>
      <c r="L127" s="16" t="s">
        <v>73</v>
      </c>
      <c r="M127" s="25" t="s">
        <v>60</v>
      </c>
      <c r="N127" s="26" t="s">
        <v>61</v>
      </c>
      <c r="O127" s="25">
        <v>19332.074219999999</v>
      </c>
      <c r="P127" s="25">
        <v>127504125</v>
      </c>
      <c r="Q127" s="27">
        <v>0.42179361700000001</v>
      </c>
      <c r="R127" s="25" t="s">
        <v>64</v>
      </c>
      <c r="S127" s="28" t="s">
        <v>65</v>
      </c>
      <c r="T127" s="39">
        <v>17.57750900908238</v>
      </c>
      <c r="U127" s="26" t="s">
        <v>66</v>
      </c>
      <c r="V127" s="26" t="s">
        <v>1160</v>
      </c>
      <c r="W127" s="26">
        <v>140395.23330135283</v>
      </c>
      <c r="X127" s="16" t="s">
        <v>67</v>
      </c>
      <c r="Y127" s="26">
        <v>14.039523330135284</v>
      </c>
      <c r="Z127" s="26" t="s">
        <v>67</v>
      </c>
      <c r="AA127" s="26">
        <v>320633.72547832603</v>
      </c>
      <c r="AB127" s="29" t="s">
        <v>68</v>
      </c>
      <c r="AC127" s="29" t="s">
        <v>1149</v>
      </c>
      <c r="AD127" s="39">
        <v>1</v>
      </c>
      <c r="AE127" s="26">
        <v>9</v>
      </c>
      <c r="AF127" s="29" t="s">
        <v>1151</v>
      </c>
      <c r="AG127" s="25">
        <v>143673.62810344683</v>
      </c>
      <c r="AH127" s="25" t="s">
        <v>65</v>
      </c>
      <c r="AI127" s="25" t="s">
        <v>69</v>
      </c>
      <c r="AJ127" s="25" t="s">
        <v>65</v>
      </c>
      <c r="AK127" s="17" t="s">
        <v>487</v>
      </c>
      <c r="AL127" s="27">
        <f t="shared" si="29"/>
        <v>1.2689874805868127</v>
      </c>
      <c r="AM127" s="27">
        <f t="shared" si="30"/>
        <v>5.1473554562383628</v>
      </c>
      <c r="AN127" s="27">
        <f t="shared" si="31"/>
        <v>1.177234071736174</v>
      </c>
      <c r="AO127" s="27">
        <f t="shared" si="32"/>
        <v>5.5060105556567125</v>
      </c>
      <c r="AP127" s="27">
        <f t="shared" si="33"/>
        <v>0.4723988185999623</v>
      </c>
      <c r="AQ127" s="27">
        <f t="shared" si="34"/>
        <v>0.57346302619132283</v>
      </c>
      <c r="AR127" s="27">
        <f t="shared" si="35"/>
        <v>0.27870864878124113</v>
      </c>
      <c r="AS127" s="27">
        <f t="shared" si="36"/>
        <v>0.62239461292971066</v>
      </c>
      <c r="AT127" s="27">
        <f t="shared" si="28"/>
        <v>48.7</v>
      </c>
      <c r="AU127" s="27" t="b">
        <f t="shared" si="27"/>
        <v>0</v>
      </c>
      <c r="AV127" s="11"/>
    </row>
    <row r="128" spans="1:52" s="30" customFormat="1">
      <c r="A128" s="25" t="s">
        <v>499</v>
      </c>
      <c r="B128" s="26" t="s">
        <v>935</v>
      </c>
      <c r="C128" s="26" t="s">
        <v>934</v>
      </c>
      <c r="D128" s="26" t="s">
        <v>458</v>
      </c>
      <c r="E128" s="25" t="s">
        <v>473</v>
      </c>
      <c r="F128" s="25">
        <v>484</v>
      </c>
      <c r="G128" s="25" t="s">
        <v>58</v>
      </c>
      <c r="H128" s="25" t="s">
        <v>212</v>
      </c>
      <c r="I128" s="50">
        <v>23.223333333333329</v>
      </c>
      <c r="J128" s="50">
        <v>-106.3602777777778</v>
      </c>
      <c r="K128" s="25" t="s">
        <v>62</v>
      </c>
      <c r="L128" s="16" t="s">
        <v>73</v>
      </c>
      <c r="M128" s="25" t="s">
        <v>60</v>
      </c>
      <c r="N128" s="26" t="s">
        <v>61</v>
      </c>
      <c r="O128" s="25">
        <v>19332.074219999999</v>
      </c>
      <c r="P128" s="25">
        <v>127504125</v>
      </c>
      <c r="Q128" s="27">
        <v>0.42179361700000001</v>
      </c>
      <c r="R128" s="25" t="s">
        <v>64</v>
      </c>
      <c r="S128" s="28" t="s">
        <v>65</v>
      </c>
      <c r="T128" s="39">
        <v>37.779453787793216</v>
      </c>
      <c r="U128" s="26" t="s">
        <v>66</v>
      </c>
      <c r="V128" s="26" t="s">
        <v>1160</v>
      </c>
      <c r="W128" s="26">
        <v>178119.30642549283</v>
      </c>
      <c r="X128" s="16" t="s">
        <v>67</v>
      </c>
      <c r="Y128" s="26">
        <v>17.811930642549285</v>
      </c>
      <c r="Z128" s="26" t="s">
        <v>67</v>
      </c>
      <c r="AA128" s="26">
        <v>416549.054609999</v>
      </c>
      <c r="AB128" s="29" t="s">
        <v>68</v>
      </c>
      <c r="AC128" s="29" t="s">
        <v>1149</v>
      </c>
      <c r="AD128" s="39">
        <v>1.0588235294117601</v>
      </c>
      <c r="AE128" s="26">
        <v>17</v>
      </c>
      <c r="AF128" s="29" t="s">
        <v>1151</v>
      </c>
      <c r="AG128" s="25">
        <v>182278.60296716748</v>
      </c>
      <c r="AH128" s="25" t="s">
        <v>65</v>
      </c>
      <c r="AI128" s="25" t="s">
        <v>69</v>
      </c>
      <c r="AJ128" s="25" t="s">
        <v>65</v>
      </c>
      <c r="AK128" s="17" t="s">
        <v>482</v>
      </c>
      <c r="AL128" s="27">
        <f t="shared" si="29"/>
        <v>1.5886016877076696</v>
      </c>
      <c r="AM128" s="27">
        <f t="shared" si="30"/>
        <v>5.2507134335891328</v>
      </c>
      <c r="AN128" s="27">
        <f t="shared" si="31"/>
        <v>1.2744333688825868</v>
      </c>
      <c r="AO128" s="27">
        <f t="shared" si="32"/>
        <v>5.6196671957422479</v>
      </c>
      <c r="AP128" s="27">
        <f t="shared" si="33"/>
        <v>0.59350897097386746</v>
      </c>
      <c r="AQ128" s="27">
        <f t="shared" si="34"/>
        <v>0.60631903121299591</v>
      </c>
      <c r="AR128" s="27">
        <f t="shared" si="35"/>
        <v>0.3035452578276997</v>
      </c>
      <c r="AS128" s="27">
        <f t="shared" si="36"/>
        <v>0.65108881270690677</v>
      </c>
      <c r="AT128" s="27">
        <f t="shared" si="28"/>
        <v>53.9</v>
      </c>
      <c r="AU128" s="27" t="b">
        <f t="shared" si="27"/>
        <v>0</v>
      </c>
      <c r="AV128" s="11"/>
    </row>
    <row r="129" spans="1:48" s="30" customFormat="1">
      <c r="A129" s="25" t="s">
        <v>500</v>
      </c>
      <c r="B129" s="26" t="s">
        <v>937</v>
      </c>
      <c r="C129" s="26" t="s">
        <v>501</v>
      </c>
      <c r="D129" s="26" t="s">
        <v>458</v>
      </c>
      <c r="E129" s="25" t="s">
        <v>473</v>
      </c>
      <c r="F129" s="25">
        <v>484</v>
      </c>
      <c r="G129" s="25" t="s">
        <v>58</v>
      </c>
      <c r="H129" s="25" t="s">
        <v>212</v>
      </c>
      <c r="I129" s="50">
        <v>18.150555555555549</v>
      </c>
      <c r="J129" s="50">
        <v>-94.378611111111098</v>
      </c>
      <c r="K129" s="25" t="s">
        <v>62</v>
      </c>
      <c r="L129" s="16" t="s">
        <v>73</v>
      </c>
      <c r="M129" s="25" t="s">
        <v>60</v>
      </c>
      <c r="N129" s="26" t="s">
        <v>61</v>
      </c>
      <c r="O129" s="25">
        <v>19332.074219999999</v>
      </c>
      <c r="P129" s="25">
        <v>127504125</v>
      </c>
      <c r="Q129" s="27">
        <v>0.42179361700000001</v>
      </c>
      <c r="R129" s="25" t="s">
        <v>64</v>
      </c>
      <c r="S129" s="28" t="s">
        <v>65</v>
      </c>
      <c r="T129" s="39">
        <v>1.5892948109088001</v>
      </c>
      <c r="U129" s="26" t="s">
        <v>66</v>
      </c>
      <c r="V129" s="26" t="s">
        <v>1160</v>
      </c>
      <c r="W129" s="26">
        <v>89924.756693433432</v>
      </c>
      <c r="X129" s="16" t="s">
        <v>67</v>
      </c>
      <c r="Y129" s="26">
        <v>8.9924756693433441</v>
      </c>
      <c r="Z129" s="26" t="s">
        <v>387</v>
      </c>
      <c r="AA129" s="26">
        <v>229033.62532859101</v>
      </c>
      <c r="AB129" s="29" t="s">
        <v>89</v>
      </c>
      <c r="AC129" s="29" t="s">
        <v>70</v>
      </c>
      <c r="AD129" s="39" t="s">
        <v>70</v>
      </c>
      <c r="AE129" s="29" t="s">
        <v>70</v>
      </c>
      <c r="AF129" s="29" t="s">
        <v>70</v>
      </c>
      <c r="AG129" s="25">
        <v>92024.606154066627</v>
      </c>
      <c r="AH129" s="25" t="s">
        <v>65</v>
      </c>
      <c r="AI129" s="25" t="s">
        <v>69</v>
      </c>
      <c r="AJ129" s="25" t="s">
        <v>65</v>
      </c>
      <c r="AK129" s="17" t="s">
        <v>502</v>
      </c>
      <c r="AL129" s="27">
        <f t="shared" si="29"/>
        <v>0.41318150098016176</v>
      </c>
      <c r="AM129" s="27">
        <f t="shared" si="30"/>
        <v>4.9538841009403676</v>
      </c>
      <c r="AN129" s="27">
        <f t="shared" si="31"/>
        <v>0.99967309947076732</v>
      </c>
      <c r="AO129" s="27">
        <f t="shared" si="32"/>
        <v>5.3599011437040653</v>
      </c>
      <c r="AP129" s="27">
        <f t="shared" si="33"/>
        <v>0.14811163022266877</v>
      </c>
      <c r="AQ129" s="27">
        <f t="shared" si="34"/>
        <v>0.51196128259926466</v>
      </c>
      <c r="AR129" s="27">
        <f t="shared" si="35"/>
        <v>0.23333782224715507</v>
      </c>
      <c r="AS129" s="27">
        <f t="shared" si="36"/>
        <v>0.58550725946982718</v>
      </c>
      <c r="AT129" s="27">
        <f t="shared" si="28"/>
        <v>37</v>
      </c>
      <c r="AU129" s="27" t="b">
        <f t="shared" si="27"/>
        <v>0</v>
      </c>
      <c r="AV129" s="11"/>
    </row>
    <row r="130" spans="1:48">
      <c r="A130" s="25" t="s">
        <v>440</v>
      </c>
      <c r="B130" s="26" t="s">
        <v>932</v>
      </c>
      <c r="C130" s="26" t="s">
        <v>1034</v>
      </c>
      <c r="D130" s="26" t="s">
        <v>442</v>
      </c>
      <c r="E130" s="25" t="s">
        <v>512</v>
      </c>
      <c r="F130" s="25">
        <v>504</v>
      </c>
      <c r="G130" s="25" t="s">
        <v>125</v>
      </c>
      <c r="H130" s="25" t="s">
        <v>155</v>
      </c>
      <c r="I130" s="50">
        <v>33.817222222222227</v>
      </c>
      <c r="J130" s="50">
        <v>-4.8036111111111106</v>
      </c>
      <c r="K130" s="25" t="s">
        <v>859</v>
      </c>
      <c r="L130" s="16" t="s">
        <v>73</v>
      </c>
      <c r="M130" s="25" t="s">
        <v>88</v>
      </c>
      <c r="N130" s="26" t="s">
        <v>61</v>
      </c>
      <c r="O130" s="25">
        <v>6915.1030270000001</v>
      </c>
      <c r="P130" s="25">
        <v>37457971</v>
      </c>
      <c r="Q130" s="27">
        <v>0.19966152000000001</v>
      </c>
      <c r="R130" s="25" t="s">
        <v>64</v>
      </c>
      <c r="S130" s="28" t="s">
        <v>65</v>
      </c>
      <c r="T130" s="39">
        <v>3.0312201018420053</v>
      </c>
      <c r="U130" s="26" t="s">
        <v>66</v>
      </c>
      <c r="V130" s="26" t="s">
        <v>1160</v>
      </c>
      <c r="W130" s="26">
        <v>25469.04132537626</v>
      </c>
      <c r="X130" s="16" t="s">
        <v>67</v>
      </c>
      <c r="Y130" s="52">
        <f>0.0001 *W130</f>
        <v>2.5469041325376263</v>
      </c>
      <c r="Z130" s="26" t="s">
        <v>67</v>
      </c>
      <c r="AA130" s="29">
        <v>127475.527150369</v>
      </c>
      <c r="AB130" s="29" t="s">
        <v>68</v>
      </c>
      <c r="AC130" s="29" t="s">
        <v>1149</v>
      </c>
      <c r="AD130" s="39">
        <v>0.5</v>
      </c>
      <c r="AE130" s="26">
        <v>2</v>
      </c>
      <c r="AF130" s="29" t="s">
        <v>1151</v>
      </c>
      <c r="AG130" s="62">
        <v>25521.998433746961</v>
      </c>
      <c r="AH130" s="25" t="s">
        <v>65</v>
      </c>
      <c r="AI130" s="25" t="s">
        <v>69</v>
      </c>
      <c r="AJ130" s="25" t="s">
        <v>65</v>
      </c>
      <c r="AK130" s="17" t="s">
        <v>70</v>
      </c>
      <c r="AL130" s="27">
        <f t="shared" si="29"/>
        <v>0.60543651098010276</v>
      </c>
      <c r="AM130" s="27">
        <f t="shared" si="30"/>
        <v>4.4060296496109768</v>
      </c>
      <c r="AN130" s="27">
        <f t="shared" si="31"/>
        <v>0.54984945030657495</v>
      </c>
      <c r="AO130" s="27">
        <f t="shared" si="32"/>
        <v>5.1054302234557936</v>
      </c>
      <c r="AP130" s="27">
        <f t="shared" si="33"/>
        <v>0.22096206376717961</v>
      </c>
      <c r="AQ130" s="27">
        <f t="shared" si="34"/>
        <v>0.33780628203326052</v>
      </c>
      <c r="AR130" s="27">
        <f t="shared" si="35"/>
        <v>0.11839775125761193</v>
      </c>
      <c r="AS130" s="27">
        <f t="shared" si="36"/>
        <v>0.52126253590949989</v>
      </c>
      <c r="AT130" s="27">
        <f t="shared" si="28"/>
        <v>30</v>
      </c>
      <c r="AU130" s="27" t="b">
        <f t="shared" si="27"/>
        <v>0</v>
      </c>
      <c r="AV130"/>
    </row>
    <row r="131" spans="1:48">
      <c r="A131" s="25" t="s">
        <v>448</v>
      </c>
      <c r="B131" s="26" t="s">
        <v>933</v>
      </c>
      <c r="C131" s="26" t="s">
        <v>1035</v>
      </c>
      <c r="D131" s="26" t="s">
        <v>442</v>
      </c>
      <c r="E131" s="25" t="s">
        <v>512</v>
      </c>
      <c r="F131" s="25">
        <v>504</v>
      </c>
      <c r="G131" s="25" t="s">
        <v>125</v>
      </c>
      <c r="H131" s="25" t="s">
        <v>155</v>
      </c>
      <c r="I131" s="50">
        <v>33.88111111111111</v>
      </c>
      <c r="J131" s="50">
        <v>-5.1961111111111116</v>
      </c>
      <c r="K131" s="25" t="s">
        <v>859</v>
      </c>
      <c r="L131" s="16" t="s">
        <v>73</v>
      </c>
      <c r="M131" s="25" t="s">
        <v>88</v>
      </c>
      <c r="N131" s="26" t="s">
        <v>61</v>
      </c>
      <c r="O131" s="25">
        <v>6915.1030270000001</v>
      </c>
      <c r="P131" s="25">
        <v>37457971</v>
      </c>
      <c r="Q131" s="27">
        <v>0.19966152000000001</v>
      </c>
      <c r="R131" s="25" t="s">
        <v>64</v>
      </c>
      <c r="S131" s="28" t="s">
        <v>65</v>
      </c>
      <c r="T131" s="39">
        <v>4.1074689745244566</v>
      </c>
      <c r="U131" s="26" t="s">
        <v>66</v>
      </c>
      <c r="V131" s="26" t="s">
        <v>1159</v>
      </c>
      <c r="W131" s="26">
        <v>16465.40858626696</v>
      </c>
      <c r="X131" s="16" t="s">
        <v>67</v>
      </c>
      <c r="Y131" s="52">
        <f>0.0001 *W131</f>
        <v>1.6465408586266961</v>
      </c>
      <c r="Z131" s="26" t="s">
        <v>67</v>
      </c>
      <c r="AA131" s="29">
        <v>82450.023155230898</v>
      </c>
      <c r="AB131" s="29" t="s">
        <v>89</v>
      </c>
      <c r="AC131" s="29" t="s">
        <v>70</v>
      </c>
      <c r="AD131" s="39" t="s">
        <v>70</v>
      </c>
      <c r="AE131" s="29" t="s">
        <v>70</v>
      </c>
      <c r="AF131" s="29" t="s">
        <v>70</v>
      </c>
      <c r="AG131" s="62">
        <v>16499.644677674216</v>
      </c>
      <c r="AH131" s="25" t="s">
        <v>65</v>
      </c>
      <c r="AI131" s="25" t="s">
        <v>69</v>
      </c>
      <c r="AJ131" s="25" t="s">
        <v>65</v>
      </c>
      <c r="AK131" s="17" t="s">
        <v>70</v>
      </c>
      <c r="AL131" s="27">
        <f t="shared" si="29"/>
        <v>0.70820573717746582</v>
      </c>
      <c r="AM131" s="27">
        <f t="shared" si="30"/>
        <v>4.2165988874971934</v>
      </c>
      <c r="AN131" s="27">
        <f t="shared" si="31"/>
        <v>0.42267860323532969</v>
      </c>
      <c r="AO131" s="27">
        <f t="shared" si="32"/>
        <v>4.9161960492821004</v>
      </c>
      <c r="AP131" s="27">
        <f t="shared" si="33"/>
        <v>0.25990400178748968</v>
      </c>
      <c r="AQ131" s="27">
        <f t="shared" si="34"/>
        <v>0.27758898453190367</v>
      </c>
      <c r="AR131" s="27">
        <f t="shared" si="35"/>
        <v>8.5902736339368194E-2</v>
      </c>
      <c r="AS131" s="27">
        <f t="shared" si="36"/>
        <v>0.47348773635246355</v>
      </c>
      <c r="AT131" s="27">
        <f t="shared" si="28"/>
        <v>27.4</v>
      </c>
      <c r="AU131" s="27" t="b">
        <f t="shared" si="27"/>
        <v>0</v>
      </c>
      <c r="AV131"/>
    </row>
    <row r="132" spans="1:48" s="30" customFormat="1">
      <c r="A132" s="25" t="s">
        <v>510</v>
      </c>
      <c r="B132" s="26" t="s">
        <v>516</v>
      </c>
      <c r="C132" s="26" t="s">
        <v>517</v>
      </c>
      <c r="D132" s="26" t="s">
        <v>511</v>
      </c>
      <c r="E132" s="25" t="s">
        <v>519</v>
      </c>
      <c r="F132" s="25">
        <v>508</v>
      </c>
      <c r="G132" s="25" t="s">
        <v>125</v>
      </c>
      <c r="H132" s="25" t="s">
        <v>137</v>
      </c>
      <c r="I132" s="50">
        <v>-25.900192650000001</v>
      </c>
      <c r="J132" s="50">
        <v>32.59796248</v>
      </c>
      <c r="K132" s="25" t="s">
        <v>62</v>
      </c>
      <c r="L132" s="16" t="s">
        <v>101</v>
      </c>
      <c r="M132" s="25" t="s">
        <v>163</v>
      </c>
      <c r="N132" s="26" t="s">
        <v>61</v>
      </c>
      <c r="O132" s="25">
        <v>1217.0902100000001</v>
      </c>
      <c r="P132" s="25">
        <v>32969518</v>
      </c>
      <c r="Q132" s="27">
        <v>9.1869943999999995E-2</v>
      </c>
      <c r="R132" s="25" t="s">
        <v>64</v>
      </c>
      <c r="S132" s="28">
        <v>1963</v>
      </c>
      <c r="T132" s="39">
        <v>17.475852652133629</v>
      </c>
      <c r="U132" s="26" t="s">
        <v>520</v>
      </c>
      <c r="V132" s="26" t="s">
        <v>1160</v>
      </c>
      <c r="W132" s="26">
        <v>438000</v>
      </c>
      <c r="X132" s="16" t="s">
        <v>101</v>
      </c>
      <c r="Y132" s="26">
        <v>43.616354383679763</v>
      </c>
      <c r="Z132" s="26" t="s">
        <v>67</v>
      </c>
      <c r="AA132" s="26">
        <v>1660356.3748987201</v>
      </c>
      <c r="AB132" s="29" t="s">
        <v>68</v>
      </c>
      <c r="AC132" s="29" t="s">
        <v>1149</v>
      </c>
      <c r="AD132" s="39">
        <v>0.69230769230769196</v>
      </c>
      <c r="AE132" s="26">
        <v>26</v>
      </c>
      <c r="AF132" s="29" t="s">
        <v>1151</v>
      </c>
      <c r="AG132" s="25">
        <v>419984.20162267995</v>
      </c>
      <c r="AH132" s="25" t="s">
        <v>521</v>
      </c>
      <c r="AI132" s="25" t="s">
        <v>69</v>
      </c>
      <c r="AJ132" s="25" t="s">
        <v>521</v>
      </c>
      <c r="AK132" s="17" t="s">
        <v>522</v>
      </c>
      <c r="AL132" s="27">
        <f t="shared" ref="AL132:AL163" si="37">LOG10(T132 + 1)</f>
        <v>1.2666044900206848</v>
      </c>
      <c r="AM132" s="27">
        <f t="shared" ref="AM132:AM163" si="38">LOG10(W132 + 1)</f>
        <v>5.6414751020428806</v>
      </c>
      <c r="AN132" s="27">
        <f t="shared" ref="AN132:AN163" si="39">LOG10(Y132+ 1)</f>
        <v>1.6494940810591134</v>
      </c>
      <c r="AO132" s="27">
        <f t="shared" ref="AO132:AO163" si="40">LOG10(AA132+ 1)</f>
        <v>6.2202015755352615</v>
      </c>
      <c r="AP132" s="27">
        <f t="shared" ref="AP132:AP163" si="41">IF(ISBLANK(T132),$AP$2, MIN(1, MAX(0, (AL132 - $AL$1) / ($AL$2 - $AL$1))))</f>
        <v>0.47149584137260703</v>
      </c>
      <c r="AQ132" s="27">
        <f t="shared" ref="AQ132:AQ163" si="42">IF(ISBLANK(W132), $AQ$2, MIN(1, MAX(0, (AM132 - $AM$1) / ($AM$2 - $AM$1))))</f>
        <v>0.7305365098254295</v>
      </c>
      <c r="AR132" s="27">
        <f t="shared" ref="AR132:AR163" si="43">IF(ISBLANK(Y132), $AR$2, MIN(1, MAX(0, (AN132 - $AN$1) / ($AN$2 - $AN$1))))</f>
        <v>0.39938171498832126</v>
      </c>
      <c r="AS132" s="27">
        <f t="shared" ref="AS132:AS163" si="44">IF(ISBLANK(AA132), $AS$2, MIN(1, MAX(0, (AO132 - $AO$1) / ($AO$2 - $AO$1))))</f>
        <v>0.80270207044430764</v>
      </c>
      <c r="AT132" s="27">
        <f t="shared" si="28"/>
        <v>60.1</v>
      </c>
      <c r="AU132" s="27" t="b">
        <f t="shared" ref="AU132:AU195" si="45">OR(ISBLANK(T132), ISBLANK(W132), ISBLANK(Y132), ISBLANK(AA132))</f>
        <v>0</v>
      </c>
      <c r="AV132" s="11"/>
    </row>
    <row r="133" spans="1:48">
      <c r="A133" s="25" t="s">
        <v>505</v>
      </c>
      <c r="B133" s="26" t="s">
        <v>524</v>
      </c>
      <c r="C133" s="26" t="s">
        <v>525</v>
      </c>
      <c r="D133" s="26" t="s">
        <v>506</v>
      </c>
      <c r="E133" s="25" t="s">
        <v>526</v>
      </c>
      <c r="F133" s="25">
        <v>104</v>
      </c>
      <c r="G133" s="25" t="s">
        <v>86</v>
      </c>
      <c r="H133" s="25" t="s">
        <v>315</v>
      </c>
      <c r="I133" s="50">
        <v>16.89799884</v>
      </c>
      <c r="J133" s="50">
        <v>96.021095259999996</v>
      </c>
      <c r="K133" s="25" t="s">
        <v>62</v>
      </c>
      <c r="L133" s="16" t="s">
        <v>527</v>
      </c>
      <c r="M133" s="25" t="s">
        <v>88</v>
      </c>
      <c r="N133" s="26" t="s">
        <v>61</v>
      </c>
      <c r="O133" s="25">
        <v>1093.788086</v>
      </c>
      <c r="P133" s="25">
        <v>54179306</v>
      </c>
      <c r="Q133" s="27">
        <v>0.10146999600000001</v>
      </c>
      <c r="R133" s="25" t="s">
        <v>64</v>
      </c>
      <c r="S133" s="28">
        <v>2002</v>
      </c>
      <c r="T133" s="39">
        <v>2.7852185520534398</v>
      </c>
      <c r="U133" s="26" t="s">
        <v>66</v>
      </c>
      <c r="V133" s="26" t="s">
        <v>1159</v>
      </c>
      <c r="W133" s="26">
        <v>547500</v>
      </c>
      <c r="X133" s="16" t="s">
        <v>527</v>
      </c>
      <c r="Y133" s="26">
        <v>54.75</v>
      </c>
      <c r="Z133" s="26" t="s">
        <v>67</v>
      </c>
      <c r="AA133" s="26">
        <v>1364562.2883320299</v>
      </c>
      <c r="AB133" s="29" t="s">
        <v>89</v>
      </c>
      <c r="AC133" s="29" t="s">
        <v>70</v>
      </c>
      <c r="AD133" s="39" t="s">
        <v>70</v>
      </c>
      <c r="AE133" s="29" t="s">
        <v>70</v>
      </c>
      <c r="AF133" s="29" t="s">
        <v>70</v>
      </c>
      <c r="AG133" s="30">
        <v>531311.83152846992</v>
      </c>
      <c r="AH133" s="25" t="s">
        <v>528</v>
      </c>
      <c r="AI133" s="25" t="s">
        <v>69</v>
      </c>
      <c r="AJ133" s="25" t="s">
        <v>528</v>
      </c>
      <c r="AK133" s="17" t="s">
        <v>529</v>
      </c>
      <c r="AL133" s="27">
        <f t="shared" si="37"/>
        <v>0.57809095998156645</v>
      </c>
      <c r="AM133" s="27">
        <f t="shared" si="38"/>
        <v>5.738384916743362</v>
      </c>
      <c r="AN133" s="27">
        <f t="shared" si="39"/>
        <v>1.7462448717201984</v>
      </c>
      <c r="AO133" s="27">
        <f t="shared" si="40"/>
        <v>6.1349936830150513</v>
      </c>
      <c r="AP133" s="27">
        <f t="shared" si="41"/>
        <v>0.21060012185597785</v>
      </c>
      <c r="AQ133" s="27">
        <f t="shared" si="42"/>
        <v>0.76134273726970825</v>
      </c>
      <c r="AR133" s="27">
        <f t="shared" si="43"/>
        <v>0.42410372052880885</v>
      </c>
      <c r="AS133" s="27">
        <f t="shared" si="44"/>
        <v>0.78119015271799852</v>
      </c>
      <c r="AT133" s="27">
        <f t="shared" ref="AT133:AT196" si="46">ROUND(100 * (AP133 + AQ133 + AR133 + AS133) / 4, 1)</f>
        <v>54.4</v>
      </c>
      <c r="AU133" s="27" t="b">
        <f t="shared" si="45"/>
        <v>0</v>
      </c>
      <c r="AV133"/>
    </row>
    <row r="134" spans="1:48">
      <c r="A134" s="25" t="s">
        <v>507</v>
      </c>
      <c r="B134" s="26" t="s">
        <v>531</v>
      </c>
      <c r="C134" s="26" t="s">
        <v>525</v>
      </c>
      <c r="D134" s="26" t="s">
        <v>506</v>
      </c>
      <c r="E134" s="25" t="s">
        <v>526</v>
      </c>
      <c r="F134" s="25">
        <v>104</v>
      </c>
      <c r="G134" s="25" t="s">
        <v>86</v>
      </c>
      <c r="H134" s="25" t="s">
        <v>315</v>
      </c>
      <c r="I134" s="50">
        <v>16.918785289999999</v>
      </c>
      <c r="J134" s="50">
        <v>96.183777809999995</v>
      </c>
      <c r="K134" s="25" t="s">
        <v>62</v>
      </c>
      <c r="L134" s="16" t="s">
        <v>101</v>
      </c>
      <c r="M134" s="25" t="s">
        <v>88</v>
      </c>
      <c r="N134" s="26" t="s">
        <v>61</v>
      </c>
      <c r="O134" s="25">
        <v>1093.788086</v>
      </c>
      <c r="P134" s="25">
        <v>54179306</v>
      </c>
      <c r="Q134" s="27">
        <v>0.10146999600000001</v>
      </c>
      <c r="R134" s="25" t="s">
        <v>64</v>
      </c>
      <c r="S134" s="28">
        <v>2001</v>
      </c>
      <c r="T134" s="39">
        <v>20.86850590422209</v>
      </c>
      <c r="U134" s="26" t="s">
        <v>520</v>
      </c>
      <c r="V134" s="26" t="s">
        <v>1160</v>
      </c>
      <c r="W134" s="26">
        <v>223380</v>
      </c>
      <c r="X134" s="16" t="s">
        <v>101</v>
      </c>
      <c r="Y134" s="26">
        <v>22.338000000000001</v>
      </c>
      <c r="Z134" s="26" t="s">
        <v>67</v>
      </c>
      <c r="AA134" s="26">
        <v>2143175.0571854599</v>
      </c>
      <c r="AB134" s="29" t="s">
        <v>89</v>
      </c>
      <c r="AC134" s="29" t="s">
        <v>70</v>
      </c>
      <c r="AD134" s="39" t="s">
        <v>70</v>
      </c>
      <c r="AE134" s="29" t="s">
        <v>70</v>
      </c>
      <c r="AF134" s="29" t="s">
        <v>70</v>
      </c>
      <c r="AG134" s="30">
        <v>216775.22726361576</v>
      </c>
      <c r="AH134" s="25" t="s">
        <v>528</v>
      </c>
      <c r="AI134" s="25" t="s">
        <v>69</v>
      </c>
      <c r="AJ134" s="25" t="s">
        <v>528</v>
      </c>
      <c r="AK134" s="17" t="s">
        <v>532</v>
      </c>
      <c r="AL134" s="27">
        <f t="shared" si="37"/>
        <v>1.3398191122686605</v>
      </c>
      <c r="AM134" s="27">
        <f t="shared" si="38"/>
        <v>5.3490462307935918</v>
      </c>
      <c r="AN134" s="27">
        <f t="shared" si="39"/>
        <v>1.3680636355062434</v>
      </c>
      <c r="AO134" s="27">
        <f t="shared" si="40"/>
        <v>6.3310578488409517</v>
      </c>
      <c r="AP134" s="27">
        <f t="shared" si="41"/>
        <v>0.49923876974968423</v>
      </c>
      <c r="AQ134" s="27">
        <f t="shared" si="42"/>
        <v>0.63757760419938758</v>
      </c>
      <c r="AR134" s="27">
        <f t="shared" si="43"/>
        <v>0.32746989921213854</v>
      </c>
      <c r="AS134" s="27">
        <f t="shared" si="44"/>
        <v>0.83068927867424491</v>
      </c>
      <c r="AT134" s="27">
        <f t="shared" si="46"/>
        <v>57.4</v>
      </c>
      <c r="AU134" s="27" t="b">
        <f t="shared" si="45"/>
        <v>0</v>
      </c>
      <c r="AV134"/>
    </row>
    <row r="135" spans="1:48">
      <c r="A135" s="25" t="s">
        <v>583</v>
      </c>
      <c r="B135" s="26" t="s">
        <v>949</v>
      </c>
      <c r="C135" s="26" t="s">
        <v>534</v>
      </c>
      <c r="D135" s="26" t="s">
        <v>586</v>
      </c>
      <c r="E135" s="25" t="s">
        <v>535</v>
      </c>
      <c r="F135" s="25">
        <v>558</v>
      </c>
      <c r="G135" s="25" t="s">
        <v>58</v>
      </c>
      <c r="H135" s="25" t="s">
        <v>212</v>
      </c>
      <c r="I135" s="50">
        <v>12.620820670000001</v>
      </c>
      <c r="J135" s="50">
        <v>-87.143936190000005</v>
      </c>
      <c r="K135" s="25" t="s">
        <v>62</v>
      </c>
      <c r="L135" s="16" t="s">
        <v>536</v>
      </c>
      <c r="M135" s="25" t="s">
        <v>88</v>
      </c>
      <c r="N135" s="26" t="s">
        <v>61</v>
      </c>
      <c r="O135" s="25">
        <v>4611.8403319999998</v>
      </c>
      <c r="P135" s="25">
        <v>6948392</v>
      </c>
      <c r="Q135" s="27">
        <v>0.26645000000000002</v>
      </c>
      <c r="R135" s="25" t="s">
        <v>64</v>
      </c>
      <c r="S135" s="28" t="s">
        <v>65</v>
      </c>
      <c r="T135" s="39">
        <v>6.3888585693098596</v>
      </c>
      <c r="U135" s="26" t="s">
        <v>66</v>
      </c>
      <c r="V135" s="26" t="s">
        <v>1160</v>
      </c>
      <c r="W135" s="26">
        <v>48805.390495381696</v>
      </c>
      <c r="X135" s="16" t="s">
        <v>79</v>
      </c>
      <c r="Y135" s="26">
        <v>4.8805390495381697</v>
      </c>
      <c r="Z135" s="26" t="s">
        <v>387</v>
      </c>
      <c r="AA135" s="26">
        <v>183828.30613932101</v>
      </c>
      <c r="AB135" s="29" t="s">
        <v>68</v>
      </c>
      <c r="AC135" s="29" t="s">
        <v>1150</v>
      </c>
      <c r="AD135" s="39">
        <v>0.4</v>
      </c>
      <c r="AE135" s="26">
        <v>5</v>
      </c>
      <c r="AF135" s="29" t="s">
        <v>1151</v>
      </c>
      <c r="AG135" s="30">
        <v>54648.854399501412</v>
      </c>
      <c r="AH135" s="25" t="s">
        <v>537</v>
      </c>
      <c r="AI135" s="25" t="s">
        <v>69</v>
      </c>
      <c r="AJ135" s="25" t="s">
        <v>537</v>
      </c>
      <c r="AK135" s="17" t="s">
        <v>536</v>
      </c>
      <c r="AL135" s="27">
        <f t="shared" si="37"/>
        <v>0.86857735377541978</v>
      </c>
      <c r="AM135" s="27">
        <f t="shared" si="38"/>
        <v>4.6884766903464898</v>
      </c>
      <c r="AN135" s="27">
        <f t="shared" si="39"/>
        <v>0.76941713823765212</v>
      </c>
      <c r="AO135" s="27">
        <f t="shared" si="40"/>
        <v>5.264414747964282</v>
      </c>
      <c r="AP135" s="27">
        <f t="shared" si="41"/>
        <v>0.3206729866758346</v>
      </c>
      <c r="AQ135" s="27">
        <f t="shared" si="42"/>
        <v>0.42759210821355165</v>
      </c>
      <c r="AR135" s="27">
        <f t="shared" si="43"/>
        <v>0.17450223950472926</v>
      </c>
      <c r="AS135" s="27">
        <f t="shared" si="44"/>
        <v>0.56140039062961022</v>
      </c>
      <c r="AT135" s="27">
        <f t="shared" si="46"/>
        <v>37.1</v>
      </c>
      <c r="AU135" s="27" t="b">
        <f t="shared" si="45"/>
        <v>0</v>
      </c>
      <c r="AV135"/>
    </row>
    <row r="136" spans="1:48" s="30" customFormat="1">
      <c r="A136" s="25" t="s">
        <v>515</v>
      </c>
      <c r="B136" s="26" t="s">
        <v>1068</v>
      </c>
      <c r="C136" s="26" t="s">
        <v>1069</v>
      </c>
      <c r="D136" s="26" t="s">
        <v>518</v>
      </c>
      <c r="E136" s="25" t="s">
        <v>540</v>
      </c>
      <c r="F136" s="25">
        <v>566</v>
      </c>
      <c r="G136" s="25" t="s">
        <v>125</v>
      </c>
      <c r="H136" s="25" t="s">
        <v>173</v>
      </c>
      <c r="I136" s="50">
        <v>6.1030555555555548</v>
      </c>
      <c r="J136" s="50">
        <v>6.7988888888888894</v>
      </c>
      <c r="K136" s="25" t="s">
        <v>859</v>
      </c>
      <c r="L136" s="16" t="s">
        <v>73</v>
      </c>
      <c r="M136" s="25" t="s">
        <v>88</v>
      </c>
      <c r="N136" s="26" t="s">
        <v>61</v>
      </c>
      <c r="O136" s="25">
        <v>4690.3793949999999</v>
      </c>
      <c r="P136" s="25">
        <v>218541212</v>
      </c>
      <c r="Q136" s="27">
        <v>0.17885000600000001</v>
      </c>
      <c r="R136" s="25" t="s">
        <v>64</v>
      </c>
      <c r="S136" s="28" t="s">
        <v>65</v>
      </c>
      <c r="T136" s="39">
        <v>1.015717173974658</v>
      </c>
      <c r="U136" s="26" t="s">
        <v>66</v>
      </c>
      <c r="V136" s="26" t="s">
        <v>1160</v>
      </c>
      <c r="W136" s="26">
        <v>259593.39195622329</v>
      </c>
      <c r="X136" s="16" t="s">
        <v>67</v>
      </c>
      <c r="Y136" s="52">
        <f>0.0001 *W136</f>
        <v>25.959339195622331</v>
      </c>
      <c r="Z136" s="26" t="s">
        <v>67</v>
      </c>
      <c r="AA136" s="29">
        <v>1431041.88715116</v>
      </c>
      <c r="AB136" s="29" t="s">
        <v>89</v>
      </c>
      <c r="AC136" s="29" t="s">
        <v>70</v>
      </c>
      <c r="AD136" s="39" t="s">
        <v>70</v>
      </c>
      <c r="AE136" s="29" t="s">
        <v>70</v>
      </c>
      <c r="AF136" s="29" t="s">
        <v>70</v>
      </c>
      <c r="AG136" s="27">
        <v>229768.43723342009</v>
      </c>
      <c r="AH136" s="25" t="s">
        <v>65</v>
      </c>
      <c r="AI136" s="25" t="s">
        <v>69</v>
      </c>
      <c r="AJ136" s="25" t="s">
        <v>65</v>
      </c>
      <c r="AK136" s="17" t="s">
        <v>70</v>
      </c>
      <c r="AL136" s="27">
        <f t="shared" si="37"/>
        <v>0.30442959602800768</v>
      </c>
      <c r="AM136" s="27">
        <f t="shared" si="38"/>
        <v>5.4142953061222689</v>
      </c>
      <c r="AN136" s="27">
        <f t="shared" si="39"/>
        <v>1.4307092429370225</v>
      </c>
      <c r="AO136" s="27">
        <f t="shared" si="40"/>
        <v>6.1556526493949919</v>
      </c>
      <c r="AP136" s="27">
        <f t="shared" si="41"/>
        <v>0.10690269931076019</v>
      </c>
      <c r="AQ136" s="27">
        <f t="shared" si="42"/>
        <v>0.65831934084718358</v>
      </c>
      <c r="AR136" s="27">
        <f t="shared" si="43"/>
        <v>0.34347726249474025</v>
      </c>
      <c r="AS136" s="27">
        <f t="shared" si="44"/>
        <v>0.7864057961511518</v>
      </c>
      <c r="AT136" s="27">
        <f t="shared" si="46"/>
        <v>47.4</v>
      </c>
      <c r="AU136" s="27" t="b">
        <f t="shared" si="45"/>
        <v>0</v>
      </c>
      <c r="AV136" s="11"/>
    </row>
    <row r="137" spans="1:48">
      <c r="A137" s="25" t="s">
        <v>523</v>
      </c>
      <c r="B137" s="26" t="s">
        <v>568</v>
      </c>
      <c r="C137" s="26" t="s">
        <v>569</v>
      </c>
      <c r="D137" s="26" t="s">
        <v>518</v>
      </c>
      <c r="E137" s="25" t="s">
        <v>540</v>
      </c>
      <c r="F137" s="25">
        <v>566</v>
      </c>
      <c r="G137" s="25" t="s">
        <v>125</v>
      </c>
      <c r="H137" s="25" t="s">
        <v>173</v>
      </c>
      <c r="I137" s="50">
        <v>8.9322944999999994</v>
      </c>
      <c r="J137" s="50">
        <v>7.2385383000000001</v>
      </c>
      <c r="K137" s="25" t="s">
        <v>62</v>
      </c>
      <c r="L137" s="16" t="s">
        <v>570</v>
      </c>
      <c r="M137" s="25" t="s">
        <v>88</v>
      </c>
      <c r="N137" s="26" t="s">
        <v>61</v>
      </c>
      <c r="O137" s="25">
        <v>4690.3793949999999</v>
      </c>
      <c r="P137" s="25">
        <v>218541212</v>
      </c>
      <c r="Q137" s="27">
        <v>0.17885000600000001</v>
      </c>
      <c r="R137" s="25" t="s">
        <v>64</v>
      </c>
      <c r="S137" s="28">
        <v>1981</v>
      </c>
      <c r="T137" s="39">
        <v>2.1833630566849371</v>
      </c>
      <c r="U137" s="26" t="s">
        <v>66</v>
      </c>
      <c r="V137" s="26" t="s">
        <v>1160</v>
      </c>
      <c r="W137" s="26">
        <v>432000</v>
      </c>
      <c r="X137" s="16" t="s">
        <v>570</v>
      </c>
      <c r="Y137" s="26">
        <v>33.578820834802322</v>
      </c>
      <c r="Z137" s="26" t="s">
        <v>67</v>
      </c>
      <c r="AA137" s="26">
        <v>119079.81713768101</v>
      </c>
      <c r="AB137" s="29" t="s">
        <v>89</v>
      </c>
      <c r="AC137" s="29" t="s">
        <v>70</v>
      </c>
      <c r="AD137" s="39" t="s">
        <v>70</v>
      </c>
      <c r="AE137" s="29" t="s">
        <v>70</v>
      </c>
      <c r="AF137" s="29" t="s">
        <v>70</v>
      </c>
      <c r="AG137" s="30">
        <v>382367.07081348327</v>
      </c>
      <c r="AH137" s="25" t="s">
        <v>571</v>
      </c>
      <c r="AI137" s="25" t="s">
        <v>69</v>
      </c>
      <c r="AJ137" s="25" t="s">
        <v>572</v>
      </c>
      <c r="AK137" s="17" t="s">
        <v>573</v>
      </c>
      <c r="AL137" s="27">
        <f t="shared" si="37"/>
        <v>0.50288617193025775</v>
      </c>
      <c r="AM137" s="27">
        <f t="shared" si="38"/>
        <v>5.6354847521250493</v>
      </c>
      <c r="AN137" s="27">
        <f t="shared" si="39"/>
        <v>1.5388101794043556</v>
      </c>
      <c r="AO137" s="27">
        <f t="shared" si="40"/>
        <v>5.0758418061322974</v>
      </c>
      <c r="AP137" s="27">
        <f t="shared" si="41"/>
        <v>0.18210306779136559</v>
      </c>
      <c r="AQ137" s="27">
        <f t="shared" si="42"/>
        <v>0.72863226428941352</v>
      </c>
      <c r="AR137" s="27">
        <f t="shared" si="43"/>
        <v>0.37109948585867014</v>
      </c>
      <c r="AS137" s="27">
        <f t="shared" si="44"/>
        <v>0.51379252837511824</v>
      </c>
      <c r="AT137" s="27">
        <f t="shared" si="46"/>
        <v>44.9</v>
      </c>
      <c r="AU137" s="27" t="b">
        <f t="shared" si="45"/>
        <v>0</v>
      </c>
      <c r="AV137"/>
    </row>
    <row r="138" spans="1:48" s="30" customFormat="1">
      <c r="A138" s="25" t="s">
        <v>530</v>
      </c>
      <c r="B138" s="26" t="s">
        <v>1070</v>
      </c>
      <c r="C138" s="26" t="s">
        <v>1071</v>
      </c>
      <c r="D138" s="26" t="s">
        <v>518</v>
      </c>
      <c r="E138" s="25" t="s">
        <v>540</v>
      </c>
      <c r="F138" s="25">
        <v>566</v>
      </c>
      <c r="G138" s="25" t="s">
        <v>125</v>
      </c>
      <c r="H138" s="25" t="s">
        <v>173</v>
      </c>
      <c r="I138" s="50">
        <v>7.3119444444444444</v>
      </c>
      <c r="J138" s="50">
        <v>3.8394444444444451</v>
      </c>
      <c r="K138" s="25" t="s">
        <v>859</v>
      </c>
      <c r="L138" s="16" t="s">
        <v>73</v>
      </c>
      <c r="M138" s="25" t="s">
        <v>88</v>
      </c>
      <c r="N138" s="26" t="s">
        <v>61</v>
      </c>
      <c r="O138" s="25">
        <v>4690.3793949999999</v>
      </c>
      <c r="P138" s="25">
        <v>218541212</v>
      </c>
      <c r="Q138" s="27">
        <v>0.17885000600000001</v>
      </c>
      <c r="R138" s="25" t="s">
        <v>64</v>
      </c>
      <c r="S138" s="28" t="s">
        <v>65</v>
      </c>
      <c r="T138" s="39">
        <v>5.6744850725815175</v>
      </c>
      <c r="U138" s="26" t="s">
        <v>66</v>
      </c>
      <c r="V138" s="26" t="s">
        <v>1160</v>
      </c>
      <c r="W138" s="26">
        <v>201541.81476094291</v>
      </c>
      <c r="X138" s="16" t="s">
        <v>67</v>
      </c>
      <c r="Y138" s="52">
        <f>0.0001 *W138</f>
        <v>20.154181476094294</v>
      </c>
      <c r="Z138" s="26" t="s">
        <v>67</v>
      </c>
      <c r="AA138" s="29">
        <v>1115150.5405589801</v>
      </c>
      <c r="AB138" s="29" t="s">
        <v>68</v>
      </c>
      <c r="AC138" s="29" t="s">
        <v>1149</v>
      </c>
      <c r="AD138" s="39">
        <v>0.66666666666666596</v>
      </c>
      <c r="AE138" s="26">
        <v>3</v>
      </c>
      <c r="AF138" s="29" t="s">
        <v>1151</v>
      </c>
      <c r="AG138" s="27">
        <v>178386.46610318372</v>
      </c>
      <c r="AH138" s="25" t="s">
        <v>591</v>
      </c>
      <c r="AI138" s="25" t="s">
        <v>69</v>
      </c>
      <c r="AJ138" s="25" t="s">
        <v>65</v>
      </c>
      <c r="AK138" s="17" t="s">
        <v>70</v>
      </c>
      <c r="AL138" s="27">
        <f t="shared" si="37"/>
        <v>0.82441776610214301</v>
      </c>
      <c r="AM138" s="27">
        <f t="shared" si="38"/>
        <v>5.3043673196545482</v>
      </c>
      <c r="AN138" s="27">
        <f t="shared" si="39"/>
        <v>1.32539622573005</v>
      </c>
      <c r="AO138" s="27">
        <f t="shared" si="40"/>
        <v>6.0473338886905381</v>
      </c>
      <c r="AP138" s="27">
        <f t="shared" si="41"/>
        <v>0.30393976808690926</v>
      </c>
      <c r="AQ138" s="27">
        <f t="shared" si="42"/>
        <v>0.62337482501994035</v>
      </c>
      <c r="AR138" s="27">
        <f t="shared" si="43"/>
        <v>0.31656741527709426</v>
      </c>
      <c r="AS138" s="27">
        <f t="shared" si="44"/>
        <v>0.75905921827472689</v>
      </c>
      <c r="AT138" s="27">
        <f t="shared" si="46"/>
        <v>50.1</v>
      </c>
      <c r="AU138" s="27" t="b">
        <f t="shared" si="45"/>
        <v>0</v>
      </c>
      <c r="AV138" s="11"/>
    </row>
    <row r="139" spans="1:48" s="30" customFormat="1">
      <c r="A139" s="25" t="s">
        <v>533</v>
      </c>
      <c r="B139" s="26" t="s">
        <v>1072</v>
      </c>
      <c r="C139" s="26" t="s">
        <v>1073</v>
      </c>
      <c r="D139" s="26" t="s">
        <v>518</v>
      </c>
      <c r="E139" s="25" t="s">
        <v>540</v>
      </c>
      <c r="F139" s="25">
        <v>566</v>
      </c>
      <c r="G139" s="25" t="s">
        <v>125</v>
      </c>
      <c r="H139" s="25" t="s">
        <v>173</v>
      </c>
      <c r="I139" s="50">
        <v>5.5044444444444443</v>
      </c>
      <c r="J139" s="50">
        <v>5.7680555555555557</v>
      </c>
      <c r="K139" s="25" t="s">
        <v>859</v>
      </c>
      <c r="L139" s="16" t="s">
        <v>73</v>
      </c>
      <c r="M139" s="25" t="s">
        <v>88</v>
      </c>
      <c r="N139" s="26" t="s">
        <v>61</v>
      </c>
      <c r="O139" s="25">
        <v>4690.3793949999999</v>
      </c>
      <c r="P139" s="25">
        <v>218541212</v>
      </c>
      <c r="Q139" s="27">
        <v>0.17885000600000001</v>
      </c>
      <c r="R139" s="25" t="s">
        <v>64</v>
      </c>
      <c r="S139" s="28" t="s">
        <v>65</v>
      </c>
      <c r="T139" s="39">
        <v>375.0657298299538</v>
      </c>
      <c r="U139" s="26" t="s">
        <v>66</v>
      </c>
      <c r="V139" s="26" t="s">
        <v>1160</v>
      </c>
      <c r="W139" s="26">
        <v>200297.69280817857</v>
      </c>
      <c r="X139" s="16" t="s">
        <v>67</v>
      </c>
      <c r="Y139" s="52">
        <f>0.0001 *W139</f>
        <v>20.02976928081786</v>
      </c>
      <c r="Z139" s="26" t="s">
        <v>67</v>
      </c>
      <c r="AA139" s="29">
        <v>1114333.2975061301</v>
      </c>
      <c r="AB139" s="29" t="s">
        <v>89</v>
      </c>
      <c r="AC139" s="29" t="s">
        <v>70</v>
      </c>
      <c r="AD139" s="39" t="s">
        <v>70</v>
      </c>
      <c r="AE139" s="29" t="s">
        <v>70</v>
      </c>
      <c r="AF139" s="29" t="s">
        <v>70</v>
      </c>
      <c r="AG139" s="27">
        <v>177285.28261519005</v>
      </c>
      <c r="AH139" s="25" t="s">
        <v>65</v>
      </c>
      <c r="AI139" s="25" t="s">
        <v>69</v>
      </c>
      <c r="AJ139" s="25" t="s">
        <v>65</v>
      </c>
      <c r="AK139" s="17" t="s">
        <v>70</v>
      </c>
      <c r="AL139" s="27">
        <f t="shared" si="37"/>
        <v>2.575263758777703</v>
      </c>
      <c r="AM139" s="27">
        <f t="shared" si="38"/>
        <v>5.3016781150047727</v>
      </c>
      <c r="AN139" s="27">
        <f t="shared" si="39"/>
        <v>1.3228345080349981</v>
      </c>
      <c r="AO139" s="27">
        <f t="shared" si="40"/>
        <v>6.0470154976444386</v>
      </c>
      <c r="AP139" s="27">
        <f t="shared" si="41"/>
        <v>0.96738094257761886</v>
      </c>
      <c r="AQ139" s="27">
        <f t="shared" si="42"/>
        <v>0.62251996578466839</v>
      </c>
      <c r="AR139" s="27">
        <f t="shared" si="43"/>
        <v>0.3159128387241017</v>
      </c>
      <c r="AS139" s="27">
        <f t="shared" si="44"/>
        <v>0.75897883602625305</v>
      </c>
      <c r="AT139" s="27">
        <f t="shared" si="46"/>
        <v>66.599999999999994</v>
      </c>
      <c r="AU139" s="27" t="b">
        <f t="shared" si="45"/>
        <v>0</v>
      </c>
      <c r="AV139" s="11"/>
    </row>
    <row r="140" spans="1:48" s="30" customFormat="1">
      <c r="A140" s="25" t="s">
        <v>538</v>
      </c>
      <c r="B140" s="26" t="s">
        <v>948</v>
      </c>
      <c r="C140" s="26" t="s">
        <v>1071</v>
      </c>
      <c r="D140" s="26" t="s">
        <v>518</v>
      </c>
      <c r="E140" s="25" t="s">
        <v>540</v>
      </c>
      <c r="F140" s="25">
        <v>566</v>
      </c>
      <c r="G140" s="25" t="s">
        <v>125</v>
      </c>
      <c r="H140" s="25" t="s">
        <v>173</v>
      </c>
      <c r="I140" s="50">
        <v>7.3119444444444444</v>
      </c>
      <c r="J140" s="50">
        <v>3.8394444444444451</v>
      </c>
      <c r="K140" s="25" t="s">
        <v>859</v>
      </c>
      <c r="L140" s="16" t="s">
        <v>73</v>
      </c>
      <c r="M140" s="25" t="s">
        <v>88</v>
      </c>
      <c r="N140" s="26" t="s">
        <v>61</v>
      </c>
      <c r="O140" s="25">
        <v>4690.3793949999999</v>
      </c>
      <c r="P140" s="25">
        <v>218541212</v>
      </c>
      <c r="Q140" s="27">
        <v>0.17885000600000001</v>
      </c>
      <c r="R140" s="25" t="s">
        <v>64</v>
      </c>
      <c r="S140" s="28" t="s">
        <v>65</v>
      </c>
      <c r="T140" s="39">
        <v>5.6744850725815175</v>
      </c>
      <c r="U140" s="26" t="s">
        <v>66</v>
      </c>
      <c r="V140" s="26" t="s">
        <v>1160</v>
      </c>
      <c r="W140" s="26">
        <v>201541.81476094291</v>
      </c>
      <c r="X140" s="16" t="s">
        <v>67</v>
      </c>
      <c r="Y140" s="52">
        <f>0.0001 *W140</f>
        <v>20.154181476094294</v>
      </c>
      <c r="Z140" s="26" t="s">
        <v>67</v>
      </c>
      <c r="AA140" s="29">
        <v>1115150.5405589801</v>
      </c>
      <c r="AB140" s="29" t="s">
        <v>68</v>
      </c>
      <c r="AC140" s="29" t="s">
        <v>1149</v>
      </c>
      <c r="AD140" s="39">
        <v>0.66666666666666596</v>
      </c>
      <c r="AE140" s="26">
        <v>3</v>
      </c>
      <c r="AF140" s="29" t="s">
        <v>1151</v>
      </c>
      <c r="AG140" s="27">
        <v>178386.46610318372</v>
      </c>
      <c r="AH140" s="25" t="s">
        <v>65</v>
      </c>
      <c r="AI140" s="25" t="s">
        <v>69</v>
      </c>
      <c r="AJ140" s="25" t="s">
        <v>65</v>
      </c>
      <c r="AK140" s="17" t="s">
        <v>70</v>
      </c>
      <c r="AL140" s="27">
        <f t="shared" si="37"/>
        <v>0.82441776610214301</v>
      </c>
      <c r="AM140" s="27">
        <f t="shared" si="38"/>
        <v>5.3043673196545482</v>
      </c>
      <c r="AN140" s="27">
        <f t="shared" si="39"/>
        <v>1.32539622573005</v>
      </c>
      <c r="AO140" s="27">
        <f t="shared" si="40"/>
        <v>6.0473338886905381</v>
      </c>
      <c r="AP140" s="27">
        <f t="shared" si="41"/>
        <v>0.30393976808690926</v>
      </c>
      <c r="AQ140" s="27">
        <f t="shared" si="42"/>
        <v>0.62337482501994035</v>
      </c>
      <c r="AR140" s="27">
        <f t="shared" si="43"/>
        <v>0.31656741527709426</v>
      </c>
      <c r="AS140" s="27">
        <f t="shared" si="44"/>
        <v>0.75905921827472689</v>
      </c>
      <c r="AT140" s="27">
        <f t="shared" si="46"/>
        <v>50.1</v>
      </c>
      <c r="AU140" s="27" t="b">
        <f t="shared" si="45"/>
        <v>0</v>
      </c>
      <c r="AV140" s="11"/>
    </row>
    <row r="141" spans="1:48" s="30" customFormat="1">
      <c r="A141" s="25" t="s">
        <v>541</v>
      </c>
      <c r="B141" s="26" t="s">
        <v>1063</v>
      </c>
      <c r="C141" s="26" t="s">
        <v>555</v>
      </c>
      <c r="D141" s="26" t="s">
        <v>518</v>
      </c>
      <c r="E141" s="25" t="s">
        <v>540</v>
      </c>
      <c r="F141" s="25">
        <v>566</v>
      </c>
      <c r="G141" s="25" t="s">
        <v>125</v>
      </c>
      <c r="H141" s="25" t="s">
        <v>173</v>
      </c>
      <c r="I141" s="50">
        <v>6.556111111111111</v>
      </c>
      <c r="J141" s="50">
        <v>3.3722222222222218</v>
      </c>
      <c r="K141" s="25" t="s">
        <v>859</v>
      </c>
      <c r="L141" s="16" t="s">
        <v>73</v>
      </c>
      <c r="M141" s="25" t="s">
        <v>88</v>
      </c>
      <c r="N141" s="26" t="s">
        <v>61</v>
      </c>
      <c r="O141" s="25">
        <v>4690.3793949999999</v>
      </c>
      <c r="P141" s="25">
        <v>218541212</v>
      </c>
      <c r="Q141" s="27">
        <v>0.17885000600000001</v>
      </c>
      <c r="R141" s="25" t="s">
        <v>64</v>
      </c>
      <c r="S141" s="28" t="s">
        <v>65</v>
      </c>
      <c r="T141" s="39">
        <v>1.0879001625215401</v>
      </c>
      <c r="U141" s="26" t="s">
        <v>66</v>
      </c>
      <c r="V141" s="26" t="s">
        <v>1160</v>
      </c>
      <c r="W141" s="26">
        <v>810871.72341485193</v>
      </c>
      <c r="X141" s="16" t="s">
        <v>67</v>
      </c>
      <c r="Y141" s="26">
        <v>81.0871723414852</v>
      </c>
      <c r="Z141" s="26" t="s">
        <v>67</v>
      </c>
      <c r="AA141" s="26">
        <v>4586931.4460531697</v>
      </c>
      <c r="AB141" s="29" t="s">
        <v>89</v>
      </c>
      <c r="AC141" s="29" t="s">
        <v>70</v>
      </c>
      <c r="AD141" s="39" t="s">
        <v>70</v>
      </c>
      <c r="AE141" s="29" t="s">
        <v>70</v>
      </c>
      <c r="AF141" s="29" t="s">
        <v>70</v>
      </c>
      <c r="AG141" s="25">
        <v>717709.82798059692</v>
      </c>
      <c r="AH141" s="25" t="s">
        <v>65</v>
      </c>
      <c r="AI141" s="25" t="s">
        <v>69</v>
      </c>
      <c r="AJ141" s="25" t="s">
        <v>65</v>
      </c>
      <c r="AK141" s="17" t="s">
        <v>70</v>
      </c>
      <c r="AL141" s="27">
        <f t="shared" si="37"/>
        <v>0.31970972809334003</v>
      </c>
      <c r="AM141" s="27">
        <f t="shared" si="38"/>
        <v>5.9089526916261139</v>
      </c>
      <c r="AN141" s="27">
        <f t="shared" si="39"/>
        <v>1.9142752957726545</v>
      </c>
      <c r="AO141" s="27">
        <f t="shared" si="40"/>
        <v>6.6615223441166398</v>
      </c>
      <c r="AP141" s="27">
        <f t="shared" si="41"/>
        <v>0.11269273955770713</v>
      </c>
      <c r="AQ141" s="27">
        <f t="shared" si="42"/>
        <v>0.81556376414859322</v>
      </c>
      <c r="AR141" s="27">
        <f t="shared" si="43"/>
        <v>0.46703927739621282</v>
      </c>
      <c r="AS141" s="27">
        <f t="shared" si="44"/>
        <v>0.91411963733674473</v>
      </c>
      <c r="AT141" s="27">
        <f t="shared" si="46"/>
        <v>57.7</v>
      </c>
      <c r="AU141" s="27" t="b">
        <f t="shared" si="45"/>
        <v>0</v>
      </c>
      <c r="AV141" s="11"/>
    </row>
    <row r="142" spans="1:48" s="30" customFormat="1">
      <c r="A142" s="25" t="s">
        <v>549</v>
      </c>
      <c r="B142" s="26" t="s">
        <v>1074</v>
      </c>
      <c r="C142" s="26" t="s">
        <v>1073</v>
      </c>
      <c r="D142" s="26" t="s">
        <v>518</v>
      </c>
      <c r="E142" s="25" t="s">
        <v>540</v>
      </c>
      <c r="F142" s="25">
        <v>566</v>
      </c>
      <c r="G142" s="25" t="s">
        <v>125</v>
      </c>
      <c r="H142" s="25" t="s">
        <v>173</v>
      </c>
      <c r="I142" s="50">
        <v>6.1891666666666669</v>
      </c>
      <c r="J142" s="50">
        <v>6.6555555555555559</v>
      </c>
      <c r="K142" s="25" t="s">
        <v>859</v>
      </c>
      <c r="L142" s="16" t="s">
        <v>73</v>
      </c>
      <c r="M142" s="25" t="s">
        <v>88</v>
      </c>
      <c r="N142" s="26" t="s">
        <v>61</v>
      </c>
      <c r="O142" s="25">
        <v>4690.3793949999999</v>
      </c>
      <c r="P142" s="25">
        <v>218541212</v>
      </c>
      <c r="Q142" s="27">
        <v>0.17885000600000001</v>
      </c>
      <c r="R142" s="25" t="s">
        <v>64</v>
      </c>
      <c r="S142" s="28" t="s">
        <v>65</v>
      </c>
      <c r="T142" s="39">
        <v>21.09414347674095</v>
      </c>
      <c r="U142" s="26" t="s">
        <v>66</v>
      </c>
      <c r="V142" s="26" t="s">
        <v>1160</v>
      </c>
      <c r="W142" s="26">
        <v>77741.478734404984</v>
      </c>
      <c r="X142" s="16" t="s">
        <v>67</v>
      </c>
      <c r="Y142" s="52">
        <f>0.0001 *W142</f>
        <v>7.7741478734404987</v>
      </c>
      <c r="Z142" s="26" t="s">
        <v>67</v>
      </c>
      <c r="AA142" s="29">
        <v>379108.13276123098</v>
      </c>
      <c r="AB142" s="29" t="s">
        <v>68</v>
      </c>
      <c r="AC142" s="29" t="s">
        <v>1149</v>
      </c>
      <c r="AD142" s="39">
        <v>0.88888888888888795</v>
      </c>
      <c r="AE142" s="26">
        <v>9</v>
      </c>
      <c r="AF142" s="29" t="s">
        <v>1151</v>
      </c>
      <c r="AG142" s="27">
        <v>68809.679408294309</v>
      </c>
      <c r="AH142" s="25" t="s">
        <v>65</v>
      </c>
      <c r="AI142" s="25" t="s">
        <v>69</v>
      </c>
      <c r="AJ142" s="25" t="s">
        <v>65</v>
      </c>
      <c r="AK142" s="17" t="s">
        <v>70</v>
      </c>
      <c r="AL142" s="27">
        <f t="shared" si="37"/>
        <v>1.3442771699383542</v>
      </c>
      <c r="AM142" s="27">
        <f t="shared" si="38"/>
        <v>4.8906583835233475</v>
      </c>
      <c r="AN142" s="27">
        <f t="shared" si="39"/>
        <v>0.94320494943045585</v>
      </c>
      <c r="AO142" s="27">
        <f t="shared" si="40"/>
        <v>5.5787642467319802</v>
      </c>
      <c r="AP142" s="27">
        <f t="shared" si="41"/>
        <v>0.5009280439798004</v>
      </c>
      <c r="AQ142" s="27">
        <f t="shared" si="42"/>
        <v>0.49186274214599579</v>
      </c>
      <c r="AR142" s="27">
        <f t="shared" si="43"/>
        <v>0.21890893842492531</v>
      </c>
      <c r="AS142" s="27">
        <f t="shared" si="44"/>
        <v>0.64076229426070064</v>
      </c>
      <c r="AT142" s="27">
        <f t="shared" si="46"/>
        <v>46.3</v>
      </c>
      <c r="AU142" s="27" t="b">
        <f t="shared" si="45"/>
        <v>0</v>
      </c>
      <c r="AV142" s="11"/>
    </row>
    <row r="143" spans="1:48" s="30" customFormat="1">
      <c r="A143" s="25" t="s">
        <v>550</v>
      </c>
      <c r="B143" s="26" t="s">
        <v>584</v>
      </c>
      <c r="C143" s="26" t="s">
        <v>585</v>
      </c>
      <c r="D143" s="26" t="s">
        <v>518</v>
      </c>
      <c r="E143" s="25" t="s">
        <v>540</v>
      </c>
      <c r="F143" s="25">
        <v>566</v>
      </c>
      <c r="G143" s="25" t="s">
        <v>125</v>
      </c>
      <c r="H143" s="25" t="s">
        <v>173</v>
      </c>
      <c r="I143" s="50">
        <v>7.5698981420000004</v>
      </c>
      <c r="J143" s="50">
        <v>3.9126074719999999</v>
      </c>
      <c r="K143" s="25" t="s">
        <v>62</v>
      </c>
      <c r="L143" s="16" t="s">
        <v>101</v>
      </c>
      <c r="M143" s="25" t="s">
        <v>88</v>
      </c>
      <c r="N143" s="26" t="s">
        <v>61</v>
      </c>
      <c r="O143" s="25">
        <v>4690.3793949999999</v>
      </c>
      <c r="P143" s="25">
        <v>218541212</v>
      </c>
      <c r="Q143" s="27">
        <v>0.17885000600000001</v>
      </c>
      <c r="R143" s="25" t="s">
        <v>64</v>
      </c>
      <c r="S143" s="28">
        <v>1998</v>
      </c>
      <c r="T143" s="39">
        <v>8.1720189807942596</v>
      </c>
      <c r="U143" s="26" t="s">
        <v>520</v>
      </c>
      <c r="V143" s="26" t="s">
        <v>1160</v>
      </c>
      <c r="W143" s="26">
        <v>9000</v>
      </c>
      <c r="X143" s="16" t="s">
        <v>101</v>
      </c>
      <c r="Y143" s="26">
        <v>0.9</v>
      </c>
      <c r="Z143" s="26" t="s">
        <v>67</v>
      </c>
      <c r="AA143" s="26">
        <v>151402.86460161</v>
      </c>
      <c r="AB143" s="29" t="s">
        <v>68</v>
      </c>
      <c r="AC143" s="29" t="s">
        <v>1149</v>
      </c>
      <c r="AD143" s="39">
        <v>0.75</v>
      </c>
      <c r="AE143" s="26">
        <v>8</v>
      </c>
      <c r="AF143" s="29" t="s">
        <v>1151</v>
      </c>
      <c r="AG143" s="25">
        <v>7965.9806419475726</v>
      </c>
      <c r="AH143" s="25" t="s">
        <v>587</v>
      </c>
      <c r="AI143" s="25" t="s">
        <v>69</v>
      </c>
      <c r="AJ143" s="25" t="s">
        <v>587</v>
      </c>
      <c r="AK143" s="17" t="s">
        <v>588</v>
      </c>
      <c r="AL143" s="27">
        <f t="shared" si="37"/>
        <v>0.96246494479816291</v>
      </c>
      <c r="AM143" s="27">
        <f t="shared" si="38"/>
        <v>3.9542907617011269</v>
      </c>
      <c r="AN143" s="27">
        <f t="shared" si="39"/>
        <v>0.27875360095282892</v>
      </c>
      <c r="AO143" s="27">
        <f t="shared" si="40"/>
        <v>5.1801369607237202</v>
      </c>
      <c r="AP143" s="27">
        <f t="shared" si="41"/>
        <v>0.35624944166891209</v>
      </c>
      <c r="AQ143" s="27">
        <f t="shared" si="42"/>
        <v>0.1942050279251232</v>
      </c>
      <c r="AR143" s="27">
        <f t="shared" si="43"/>
        <v>4.9126657513235944E-2</v>
      </c>
      <c r="AS143" s="27">
        <f t="shared" si="44"/>
        <v>0.54012329091910705</v>
      </c>
      <c r="AT143" s="27">
        <f t="shared" si="46"/>
        <v>28.5</v>
      </c>
      <c r="AU143" s="27" t="b">
        <f t="shared" si="45"/>
        <v>0</v>
      </c>
      <c r="AV143" s="11"/>
    </row>
    <row r="144" spans="1:48">
      <c r="A144" s="25" t="s">
        <v>554</v>
      </c>
      <c r="B144" s="26" t="s">
        <v>946</v>
      </c>
      <c r="C144" s="26" t="s">
        <v>593</v>
      </c>
      <c r="D144" s="26" t="s">
        <v>518</v>
      </c>
      <c r="E144" s="25" t="s">
        <v>540</v>
      </c>
      <c r="F144" s="25">
        <v>566</v>
      </c>
      <c r="G144" s="25" t="s">
        <v>125</v>
      </c>
      <c r="H144" s="25" t="s">
        <v>173</v>
      </c>
      <c r="I144" s="50">
        <v>7.4636111111111116</v>
      </c>
      <c r="J144" s="50">
        <v>3.8488888888888888</v>
      </c>
      <c r="K144" s="25" t="s">
        <v>62</v>
      </c>
      <c r="L144" s="16" t="s">
        <v>73</v>
      </c>
      <c r="M144" s="25" t="s">
        <v>88</v>
      </c>
      <c r="N144" s="26" t="s">
        <v>61</v>
      </c>
      <c r="O144" s="25">
        <v>4690.3793949999999</v>
      </c>
      <c r="P144" s="25">
        <v>218541212</v>
      </c>
      <c r="Q144" s="27">
        <v>0.17885000600000001</v>
      </c>
      <c r="R144" s="25" t="s">
        <v>64</v>
      </c>
      <c r="S144" s="28">
        <v>1996</v>
      </c>
      <c r="T144" s="39">
        <v>11.84501598412084</v>
      </c>
      <c r="U144" s="26" t="s">
        <v>66</v>
      </c>
      <c r="V144" s="26" t="s">
        <v>1159</v>
      </c>
      <c r="W144" s="26">
        <v>590677</v>
      </c>
      <c r="X144" s="16" t="s">
        <v>595</v>
      </c>
      <c r="Y144" s="26">
        <v>3000</v>
      </c>
      <c r="Z144" s="26" t="s">
        <v>67</v>
      </c>
      <c r="AA144" s="26">
        <v>694038.74677308998</v>
      </c>
      <c r="AB144" s="29" t="s">
        <v>68</v>
      </c>
      <c r="AC144" s="29" t="s">
        <v>1149</v>
      </c>
      <c r="AD144" s="39">
        <v>0.83333333333333304</v>
      </c>
      <c r="AE144" s="26">
        <v>12</v>
      </c>
      <c r="AF144" s="29" t="s">
        <v>1151</v>
      </c>
      <c r="AG144" s="30">
        <v>522813.50529374037</v>
      </c>
      <c r="AH144" s="25" t="s">
        <v>596</v>
      </c>
      <c r="AI144" s="25" t="s">
        <v>69</v>
      </c>
      <c r="AJ144" s="25" t="s">
        <v>596</v>
      </c>
      <c r="AK144" s="17" t="s">
        <v>597</v>
      </c>
      <c r="AL144" s="27">
        <f t="shared" si="37"/>
        <v>1.1087346490314161</v>
      </c>
      <c r="AM144" s="27">
        <f t="shared" si="38"/>
        <v>5.7713507957155263</v>
      </c>
      <c r="AN144" s="27">
        <f t="shared" si="39"/>
        <v>3.4772659954248528</v>
      </c>
      <c r="AO144" s="27">
        <f t="shared" si="40"/>
        <v>5.8413843426593743</v>
      </c>
      <c r="AP144" s="27">
        <f t="shared" si="41"/>
        <v>0.41167484445983615</v>
      </c>
      <c r="AQ144" s="27">
        <f t="shared" si="42"/>
        <v>0.77182211305487325</v>
      </c>
      <c r="AR144" s="27">
        <f t="shared" si="43"/>
        <v>0.86641859484166872</v>
      </c>
      <c r="AS144" s="27">
        <f t="shared" si="44"/>
        <v>0.70706439057795822</v>
      </c>
      <c r="AT144" s="27">
        <f t="shared" si="46"/>
        <v>68.900000000000006</v>
      </c>
      <c r="AU144" s="27" t="b">
        <f t="shared" si="45"/>
        <v>0</v>
      </c>
      <c r="AV144"/>
    </row>
    <row r="145" spans="1:48" s="30" customFormat="1">
      <c r="A145" s="25" t="s">
        <v>556</v>
      </c>
      <c r="B145" s="26" t="s">
        <v>1064</v>
      </c>
      <c r="C145" s="26" t="s">
        <v>543</v>
      </c>
      <c r="D145" s="26" t="s">
        <v>518</v>
      </c>
      <c r="E145" s="25" t="s">
        <v>540</v>
      </c>
      <c r="F145" s="25">
        <v>566</v>
      </c>
      <c r="G145" s="25" t="s">
        <v>125</v>
      </c>
      <c r="H145" s="25" t="s">
        <v>173</v>
      </c>
      <c r="I145" s="50">
        <v>6.6575000000000006</v>
      </c>
      <c r="J145" s="50">
        <v>3.3536111111111109</v>
      </c>
      <c r="K145" s="25" t="s">
        <v>62</v>
      </c>
      <c r="L145" s="16" t="s">
        <v>73</v>
      </c>
      <c r="M145" s="25" t="s">
        <v>88</v>
      </c>
      <c r="N145" s="26" t="s">
        <v>61</v>
      </c>
      <c r="O145" s="25">
        <v>4690.3793949999999</v>
      </c>
      <c r="P145" s="25">
        <v>218541212</v>
      </c>
      <c r="Q145" s="27">
        <v>0.17885000600000001</v>
      </c>
      <c r="R145" s="25" t="s">
        <v>64</v>
      </c>
      <c r="S145" s="28" t="s">
        <v>65</v>
      </c>
      <c r="T145" s="39">
        <v>1.1328176966905479</v>
      </c>
      <c r="U145" s="26" t="s">
        <v>66</v>
      </c>
      <c r="V145" s="26" t="s">
        <v>1160</v>
      </c>
      <c r="W145" s="26">
        <v>552492.29295086826</v>
      </c>
      <c r="X145" s="16" t="s">
        <v>67</v>
      </c>
      <c r="Y145" s="26">
        <v>55.249229295086828</v>
      </c>
      <c r="Z145" s="26" t="s">
        <v>67</v>
      </c>
      <c r="AA145" s="26">
        <v>3251666.4027938899</v>
      </c>
      <c r="AB145" s="29" t="s">
        <v>89</v>
      </c>
      <c r="AC145" s="29" t="s">
        <v>70</v>
      </c>
      <c r="AD145" s="39" t="s">
        <v>70</v>
      </c>
      <c r="AE145" s="29" t="s">
        <v>70</v>
      </c>
      <c r="AF145" s="29" t="s">
        <v>70</v>
      </c>
      <c r="AG145" s="25">
        <v>489015.87894131558</v>
      </c>
      <c r="AH145" s="25" t="s">
        <v>65</v>
      </c>
      <c r="AI145" s="25" t="s">
        <v>69</v>
      </c>
      <c r="AJ145" s="25" t="s">
        <v>65</v>
      </c>
      <c r="AK145" s="17" t="s">
        <v>70</v>
      </c>
      <c r="AL145" s="27">
        <f t="shared" si="37"/>
        <v>0.3289537355690188</v>
      </c>
      <c r="AM145" s="27">
        <f t="shared" si="38"/>
        <v>5.7423270102266359</v>
      </c>
      <c r="AN145" s="27">
        <f t="shared" si="39"/>
        <v>1.7501165762912398</v>
      </c>
      <c r="AO145" s="27">
        <f t="shared" si="40"/>
        <v>6.5121061173284414</v>
      </c>
      <c r="AP145" s="27">
        <f t="shared" si="41"/>
        <v>0.11619553489340269</v>
      </c>
      <c r="AQ145" s="27">
        <f t="shared" si="42"/>
        <v>0.76259587173114207</v>
      </c>
      <c r="AR145" s="27">
        <f t="shared" si="43"/>
        <v>0.4250930282254427</v>
      </c>
      <c r="AS145" s="27">
        <f t="shared" si="44"/>
        <v>0.87639743247314139</v>
      </c>
      <c r="AT145" s="27">
        <f t="shared" si="46"/>
        <v>54.5</v>
      </c>
      <c r="AU145" s="27" t="b">
        <f t="shared" si="45"/>
        <v>0</v>
      </c>
      <c r="AV145" s="11"/>
    </row>
    <row r="146" spans="1:48" s="30" customFormat="1">
      <c r="A146" s="25" t="s">
        <v>557</v>
      </c>
      <c r="B146" s="26" t="s">
        <v>1065</v>
      </c>
      <c r="C146" s="26" t="s">
        <v>565</v>
      </c>
      <c r="D146" s="26" t="s">
        <v>518</v>
      </c>
      <c r="E146" s="25" t="s">
        <v>540</v>
      </c>
      <c r="F146" s="25">
        <v>566</v>
      </c>
      <c r="G146" s="25" t="s">
        <v>125</v>
      </c>
      <c r="H146" s="25" t="s">
        <v>173</v>
      </c>
      <c r="I146" s="50">
        <v>6.656944444444445</v>
      </c>
      <c r="J146" s="50">
        <v>3.3572222222222221</v>
      </c>
      <c r="K146" s="25" t="s">
        <v>62</v>
      </c>
      <c r="L146" s="16" t="s">
        <v>73</v>
      </c>
      <c r="M146" s="25" t="s">
        <v>88</v>
      </c>
      <c r="N146" s="26" t="s">
        <v>61</v>
      </c>
      <c r="O146" s="25">
        <v>4690.3793949999999</v>
      </c>
      <c r="P146" s="25">
        <v>218541212</v>
      </c>
      <c r="Q146" s="27">
        <v>0.17885000600000001</v>
      </c>
      <c r="R146" s="25" t="s">
        <v>64</v>
      </c>
      <c r="S146" s="28" t="s">
        <v>65</v>
      </c>
      <c r="T146" s="39">
        <v>0.8400730729641509</v>
      </c>
      <c r="U146" s="26" t="s">
        <v>66</v>
      </c>
      <c r="V146" s="26" t="s">
        <v>1160</v>
      </c>
      <c r="W146" s="26">
        <v>550846.00867486361</v>
      </c>
      <c r="X146" s="16" t="s">
        <v>67</v>
      </c>
      <c r="Y146" s="26">
        <v>55.084600867486365</v>
      </c>
      <c r="Z146" s="26" t="s">
        <v>67</v>
      </c>
      <c r="AA146" s="26">
        <v>3200355.0850173198</v>
      </c>
      <c r="AB146" s="29" t="s">
        <v>89</v>
      </c>
      <c r="AC146" s="29" t="s">
        <v>70</v>
      </c>
      <c r="AD146" s="39" t="s">
        <v>70</v>
      </c>
      <c r="AE146" s="29" t="s">
        <v>70</v>
      </c>
      <c r="AF146" s="29" t="s">
        <v>70</v>
      </c>
      <c r="AG146" s="25">
        <v>487558.73797756073</v>
      </c>
      <c r="AH146" s="25" t="s">
        <v>65</v>
      </c>
      <c r="AI146" s="25" t="s">
        <v>69</v>
      </c>
      <c r="AJ146" s="25" t="s">
        <v>65</v>
      </c>
      <c r="AK146" s="17" t="s">
        <v>70</v>
      </c>
      <c r="AL146" s="27">
        <f t="shared" si="37"/>
        <v>0.26483507005027834</v>
      </c>
      <c r="AM146" s="27">
        <f t="shared" si="38"/>
        <v>5.7410309953774554</v>
      </c>
      <c r="AN146" s="27">
        <f t="shared" si="39"/>
        <v>1.7488436335142599</v>
      </c>
      <c r="AO146" s="27">
        <f t="shared" si="40"/>
        <v>6.5051983024306947</v>
      </c>
      <c r="AP146" s="27">
        <f t="shared" si="41"/>
        <v>9.1899301565921895E-2</v>
      </c>
      <c r="AQ146" s="27">
        <f t="shared" si="42"/>
        <v>0.76218388736879017</v>
      </c>
      <c r="AR146" s="27">
        <f t="shared" si="43"/>
        <v>0.42476776268321614</v>
      </c>
      <c r="AS146" s="27">
        <f t="shared" si="44"/>
        <v>0.8746534585130572</v>
      </c>
      <c r="AT146" s="27">
        <f t="shared" si="46"/>
        <v>53.8</v>
      </c>
      <c r="AU146" s="27" t="b">
        <f t="shared" si="45"/>
        <v>0</v>
      </c>
      <c r="AV146" s="11"/>
    </row>
    <row r="147" spans="1:48" s="30" customFormat="1">
      <c r="A147" s="25" t="s">
        <v>558</v>
      </c>
      <c r="B147" s="26" t="s">
        <v>1066</v>
      </c>
      <c r="C147" s="26" t="s">
        <v>543</v>
      </c>
      <c r="D147" s="26" t="s">
        <v>518</v>
      </c>
      <c r="E147" s="25" t="s">
        <v>540</v>
      </c>
      <c r="F147" s="25">
        <v>566</v>
      </c>
      <c r="G147" s="25" t="s">
        <v>125</v>
      </c>
      <c r="H147" s="25" t="s">
        <v>173</v>
      </c>
      <c r="I147" s="50">
        <v>6.5641666666666669</v>
      </c>
      <c r="J147" s="50">
        <v>3.2527777777777782</v>
      </c>
      <c r="K147" s="25" t="s">
        <v>62</v>
      </c>
      <c r="L147" s="16" t="s">
        <v>73</v>
      </c>
      <c r="M147" s="25" t="s">
        <v>88</v>
      </c>
      <c r="N147" s="26" t="s">
        <v>61</v>
      </c>
      <c r="O147" s="25">
        <v>4690.3793949999999</v>
      </c>
      <c r="P147" s="25">
        <v>218541212</v>
      </c>
      <c r="Q147" s="27">
        <v>0.17885000600000001</v>
      </c>
      <c r="R147" s="25" t="s">
        <v>64</v>
      </c>
      <c r="S147" s="28" t="s">
        <v>65</v>
      </c>
      <c r="T147" s="39">
        <v>9.4218850887864711</v>
      </c>
      <c r="U147" s="26" t="s">
        <v>66</v>
      </c>
      <c r="V147" s="26" t="s">
        <v>1160</v>
      </c>
      <c r="W147" s="26">
        <v>627838.91416021006</v>
      </c>
      <c r="X147" s="16" t="s">
        <v>67</v>
      </c>
      <c r="Y147" s="26">
        <v>62.783891416021007</v>
      </c>
      <c r="Z147" s="26" t="s">
        <v>67</v>
      </c>
      <c r="AA147" s="26">
        <v>3405226.99243049</v>
      </c>
      <c r="AB147" s="29" t="s">
        <v>68</v>
      </c>
      <c r="AC147" s="29" t="s">
        <v>1149</v>
      </c>
      <c r="AD147" s="39">
        <v>1</v>
      </c>
      <c r="AE147" s="26">
        <v>1</v>
      </c>
      <c r="AF147" s="29" t="s">
        <v>1151</v>
      </c>
      <c r="AG147" s="25">
        <v>555705.84849573439</v>
      </c>
      <c r="AH147" s="25" t="s">
        <v>65</v>
      </c>
      <c r="AI147" s="25" t="s">
        <v>69</v>
      </c>
      <c r="AJ147" s="25" t="s">
        <v>65</v>
      </c>
      <c r="AK147" s="17" t="s">
        <v>70</v>
      </c>
      <c r="AL147" s="27">
        <f t="shared" si="37"/>
        <v>1.0179462803466635</v>
      </c>
      <c r="AM147" s="27">
        <f t="shared" si="38"/>
        <v>5.7978489219860485</v>
      </c>
      <c r="AN147" s="27">
        <f t="shared" si="39"/>
        <v>1.8047110117547001</v>
      </c>
      <c r="AO147" s="27">
        <f t="shared" si="40"/>
        <v>6.5321461948213937</v>
      </c>
      <c r="AP147" s="27">
        <f t="shared" si="41"/>
        <v>0.37727276557780781</v>
      </c>
      <c r="AQ147" s="27">
        <f t="shared" si="42"/>
        <v>0.78024548386886017</v>
      </c>
      <c r="AR147" s="27">
        <f t="shared" si="43"/>
        <v>0.43904313578306831</v>
      </c>
      <c r="AS147" s="27">
        <f t="shared" si="44"/>
        <v>0.88145682879790077</v>
      </c>
      <c r="AT147" s="27">
        <f t="shared" si="46"/>
        <v>62</v>
      </c>
      <c r="AU147" s="27" t="b">
        <f t="shared" si="45"/>
        <v>0</v>
      </c>
      <c r="AV147" s="11"/>
    </row>
    <row r="148" spans="1:48">
      <c r="A148" s="25" t="s">
        <v>559</v>
      </c>
      <c r="B148" s="26" t="s">
        <v>947</v>
      </c>
      <c r="C148" s="26" t="s">
        <v>539</v>
      </c>
      <c r="D148" s="26" t="s">
        <v>518</v>
      </c>
      <c r="E148" s="25" t="s">
        <v>540</v>
      </c>
      <c r="F148" s="25">
        <v>566</v>
      </c>
      <c r="G148" s="25" t="s">
        <v>125</v>
      </c>
      <c r="H148" s="25" t="s">
        <v>173</v>
      </c>
      <c r="I148" s="50">
        <v>6.5297222222222224</v>
      </c>
      <c r="J148" s="50">
        <v>3.3177777777777782</v>
      </c>
      <c r="K148" s="25" t="s">
        <v>62</v>
      </c>
      <c r="L148" s="16" t="s">
        <v>73</v>
      </c>
      <c r="M148" s="25" t="s">
        <v>88</v>
      </c>
      <c r="N148" s="26" t="s">
        <v>61</v>
      </c>
      <c r="O148" s="25">
        <v>4690.3793949999999</v>
      </c>
      <c r="P148" s="25">
        <v>218541212</v>
      </c>
      <c r="Q148" s="27">
        <v>0.17885000600000001</v>
      </c>
      <c r="R148" s="25" t="s">
        <v>64</v>
      </c>
      <c r="S148" s="28" t="s">
        <v>65</v>
      </c>
      <c r="T148" s="39">
        <v>88.100063820036681</v>
      </c>
      <c r="U148" s="26" t="s">
        <v>66</v>
      </c>
      <c r="V148" s="26" t="s">
        <v>1159</v>
      </c>
      <c r="W148" s="26">
        <v>1007199.1560525174</v>
      </c>
      <c r="X148" s="16" t="s">
        <v>67</v>
      </c>
      <c r="Y148" s="26">
        <v>100.71991560525174</v>
      </c>
      <c r="Z148" s="26" t="s">
        <v>67</v>
      </c>
      <c r="AA148" s="26">
        <v>5798361.3335655499</v>
      </c>
      <c r="AB148" s="29" t="s">
        <v>89</v>
      </c>
      <c r="AC148" s="29" t="s">
        <v>70</v>
      </c>
      <c r="AD148" s="39" t="s">
        <v>70</v>
      </c>
      <c r="AE148" s="29" t="s">
        <v>70</v>
      </c>
      <c r="AF148" s="29" t="s">
        <v>70</v>
      </c>
      <c r="AG148" s="30">
        <v>891480.99774447526</v>
      </c>
      <c r="AH148" s="25" t="s">
        <v>65</v>
      </c>
      <c r="AI148" s="25" t="s">
        <v>69</v>
      </c>
      <c r="AJ148" s="25" t="s">
        <v>65</v>
      </c>
      <c r="AK148" s="17" t="s">
        <v>70</v>
      </c>
      <c r="AL148" s="27">
        <f t="shared" si="37"/>
        <v>1.9498780151107227</v>
      </c>
      <c r="AM148" s="27">
        <f t="shared" si="38"/>
        <v>6.0031157843880729</v>
      </c>
      <c r="AN148" s="27">
        <f t="shared" si="39"/>
        <v>2.0074059911793625</v>
      </c>
      <c r="AO148" s="27">
        <f t="shared" si="40"/>
        <v>6.763305350472482</v>
      </c>
      <c r="AP148" s="27">
        <f t="shared" si="41"/>
        <v>0.73040598645704857</v>
      </c>
      <c r="AQ148" s="27">
        <f t="shared" si="42"/>
        <v>0.84549684844399853</v>
      </c>
      <c r="AR148" s="27">
        <f t="shared" si="43"/>
        <v>0.49083626708593286</v>
      </c>
      <c r="AS148" s="27">
        <f t="shared" si="44"/>
        <v>0.93981617311415466</v>
      </c>
      <c r="AT148" s="27">
        <f t="shared" si="46"/>
        <v>75.2</v>
      </c>
      <c r="AU148" s="27" t="b">
        <f t="shared" si="45"/>
        <v>0</v>
      </c>
      <c r="AV148"/>
    </row>
    <row r="149" spans="1:48" s="30" customFormat="1">
      <c r="A149" s="25" t="s">
        <v>560</v>
      </c>
      <c r="B149" s="26" t="s">
        <v>1075</v>
      </c>
      <c r="C149" s="26" t="s">
        <v>543</v>
      </c>
      <c r="D149" s="26" t="s">
        <v>518</v>
      </c>
      <c r="E149" s="25" t="s">
        <v>540</v>
      </c>
      <c r="F149" s="25">
        <v>566</v>
      </c>
      <c r="G149" s="25" t="s">
        <v>125</v>
      </c>
      <c r="H149" s="25" t="s">
        <v>173</v>
      </c>
      <c r="I149" s="50">
        <v>6.5641666666666669</v>
      </c>
      <c r="J149" s="50">
        <v>3.9369444444444448</v>
      </c>
      <c r="K149" s="25" t="s">
        <v>859</v>
      </c>
      <c r="L149" s="16" t="s">
        <v>73</v>
      </c>
      <c r="M149" s="25" t="s">
        <v>88</v>
      </c>
      <c r="N149" s="26" t="s">
        <v>61</v>
      </c>
      <c r="O149" s="25">
        <v>4690.3793949999999</v>
      </c>
      <c r="P149" s="25">
        <v>218541212</v>
      </c>
      <c r="Q149" s="27">
        <v>0.17885000600000001</v>
      </c>
      <c r="R149" s="25" t="s">
        <v>64</v>
      </c>
      <c r="S149" s="28" t="s">
        <v>65</v>
      </c>
      <c r="T149" s="39">
        <v>6.5485730859382896</v>
      </c>
      <c r="U149" s="26" t="s">
        <v>66</v>
      </c>
      <c r="V149" s="26" t="s">
        <v>1160</v>
      </c>
      <c r="W149" s="26">
        <v>25874.392801036443</v>
      </c>
      <c r="X149" s="16" t="s">
        <v>67</v>
      </c>
      <c r="Y149" s="52">
        <f>0.0001 *W149</f>
        <v>2.5874392801036445</v>
      </c>
      <c r="Z149" s="26" t="s">
        <v>67</v>
      </c>
      <c r="AA149" s="29">
        <v>148452.51822593401</v>
      </c>
      <c r="AB149" s="29" t="s">
        <v>68</v>
      </c>
      <c r="AC149" s="29" t="s">
        <v>1149</v>
      </c>
      <c r="AD149" s="39">
        <v>1</v>
      </c>
      <c r="AE149" s="26">
        <v>5</v>
      </c>
      <c r="AF149" s="29" t="s">
        <v>1151</v>
      </c>
      <c r="AG149" s="27">
        <v>22901.656908355977</v>
      </c>
      <c r="AH149" s="25" t="s">
        <v>65</v>
      </c>
      <c r="AI149" s="25" t="s">
        <v>69</v>
      </c>
      <c r="AJ149" s="25" t="s">
        <v>65</v>
      </c>
      <c r="AK149" s="17" t="s">
        <v>70</v>
      </c>
      <c r="AL149" s="27">
        <f t="shared" si="37"/>
        <v>0.87786486428206367</v>
      </c>
      <c r="AM149" s="27">
        <f t="shared" si="38"/>
        <v>4.4128869513162892</v>
      </c>
      <c r="AN149" s="27">
        <f t="shared" si="39"/>
        <v>0.55478455906913016</v>
      </c>
      <c r="AO149" s="27">
        <f t="shared" si="40"/>
        <v>5.1715904944750308</v>
      </c>
      <c r="AP149" s="27">
        <f t="shared" si="41"/>
        <v>0.32419226644367222</v>
      </c>
      <c r="AQ149" s="27">
        <f t="shared" si="42"/>
        <v>0.33998611899446812</v>
      </c>
      <c r="AR149" s="27">
        <f t="shared" si="43"/>
        <v>0.11965878266972908</v>
      </c>
      <c r="AS149" s="27">
        <f t="shared" si="44"/>
        <v>0.53796561663149489</v>
      </c>
      <c r="AT149" s="27">
        <f t="shared" si="46"/>
        <v>33</v>
      </c>
      <c r="AU149" s="27" t="b">
        <f t="shared" si="45"/>
        <v>0</v>
      </c>
      <c r="AV149" s="11"/>
    </row>
    <row r="150" spans="1:48" s="30" customFormat="1">
      <c r="A150" s="25" t="s">
        <v>561</v>
      </c>
      <c r="B150" s="26" t="s">
        <v>580</v>
      </c>
      <c r="C150" s="26" t="s">
        <v>543</v>
      </c>
      <c r="D150" s="26" t="s">
        <v>518</v>
      </c>
      <c r="E150" s="25" t="s">
        <v>540</v>
      </c>
      <c r="F150" s="25">
        <v>566</v>
      </c>
      <c r="G150" s="25" t="s">
        <v>125</v>
      </c>
      <c r="H150" s="25" t="s">
        <v>173</v>
      </c>
      <c r="I150" s="50">
        <v>6.6492196000000003</v>
      </c>
      <c r="J150" s="50">
        <v>4.0381622000000004</v>
      </c>
      <c r="K150" s="25" t="s">
        <v>859</v>
      </c>
      <c r="L150" s="16" t="s">
        <v>101</v>
      </c>
      <c r="M150" s="25" t="s">
        <v>88</v>
      </c>
      <c r="N150" s="26" t="s">
        <v>61</v>
      </c>
      <c r="O150" s="25">
        <v>4690.3793949999999</v>
      </c>
      <c r="P150" s="25">
        <v>218541212</v>
      </c>
      <c r="Q150" s="27">
        <v>0.17885000600000001</v>
      </c>
      <c r="R150" s="25" t="s">
        <v>64</v>
      </c>
      <c r="S150" s="28">
        <v>2009</v>
      </c>
      <c r="T150" s="39">
        <v>282.26682367345711</v>
      </c>
      <c r="U150" s="26" t="s">
        <v>66</v>
      </c>
      <c r="V150" s="26" t="s">
        <v>1160</v>
      </c>
      <c r="W150" s="26">
        <v>12000</v>
      </c>
      <c r="X150" s="16" t="s">
        <v>101</v>
      </c>
      <c r="Y150" s="26">
        <v>200</v>
      </c>
      <c r="Z150" s="26" t="s">
        <v>101</v>
      </c>
      <c r="AA150" s="26">
        <v>116676.622784975</v>
      </c>
      <c r="AB150" s="29" t="s">
        <v>68</v>
      </c>
      <c r="AC150" s="29" t="s">
        <v>1149</v>
      </c>
      <c r="AD150" s="39">
        <v>1.1111111111111101</v>
      </c>
      <c r="AE150" s="26">
        <v>9</v>
      </c>
      <c r="AF150" s="29" t="s">
        <v>1151</v>
      </c>
      <c r="AG150" s="25">
        <v>10621.307522596759</v>
      </c>
      <c r="AH150" s="25" t="s">
        <v>552</v>
      </c>
      <c r="AI150" s="25" t="s">
        <v>69</v>
      </c>
      <c r="AJ150" s="25" t="s">
        <v>581</v>
      </c>
      <c r="AK150" s="17" t="s">
        <v>582</v>
      </c>
      <c r="AL150" s="27">
        <f t="shared" si="37"/>
        <v>2.4521957127510507</v>
      </c>
      <c r="AM150" s="27">
        <f t="shared" si="38"/>
        <v>4.0792174357465667</v>
      </c>
      <c r="AN150" s="27">
        <f t="shared" si="39"/>
        <v>2.3031960574204891</v>
      </c>
      <c r="AO150" s="27">
        <f t="shared" si="40"/>
        <v>5.0669875721304898</v>
      </c>
      <c r="AP150" s="27">
        <f t="shared" si="41"/>
        <v>0.92074725272724689</v>
      </c>
      <c r="AQ150" s="27">
        <f t="shared" si="42"/>
        <v>0.23391740944598027</v>
      </c>
      <c r="AR150" s="27">
        <f t="shared" si="43"/>
        <v>0.56641728928191548</v>
      </c>
      <c r="AS150" s="27">
        <f t="shared" si="44"/>
        <v>0.51155715383711753</v>
      </c>
      <c r="AT150" s="27">
        <f t="shared" si="46"/>
        <v>55.8</v>
      </c>
      <c r="AU150" s="27" t="b">
        <f t="shared" si="45"/>
        <v>0</v>
      </c>
      <c r="AV150" s="11"/>
    </row>
    <row r="151" spans="1:48" s="30" customFormat="1">
      <c r="A151" s="25" t="s">
        <v>562</v>
      </c>
      <c r="B151" s="26" t="s">
        <v>542</v>
      </c>
      <c r="C151" s="26" t="s">
        <v>543</v>
      </c>
      <c r="D151" s="26" t="s">
        <v>518</v>
      </c>
      <c r="E151" s="25" t="s">
        <v>540</v>
      </c>
      <c r="F151" s="25">
        <v>566</v>
      </c>
      <c r="G151" s="25" t="s">
        <v>125</v>
      </c>
      <c r="H151" s="25" t="s">
        <v>173</v>
      </c>
      <c r="I151" s="50">
        <v>6.5927253199999996</v>
      </c>
      <c r="J151" s="50">
        <v>3.3785104750000001</v>
      </c>
      <c r="K151" s="25" t="s">
        <v>62</v>
      </c>
      <c r="L151" s="16" t="s">
        <v>101</v>
      </c>
      <c r="M151" s="25" t="s">
        <v>88</v>
      </c>
      <c r="N151" s="26" t="s">
        <v>61</v>
      </c>
      <c r="O151" s="25">
        <v>4690.3793949999999</v>
      </c>
      <c r="P151" s="25">
        <v>218541212</v>
      </c>
      <c r="Q151" s="27">
        <v>0.17885000600000001</v>
      </c>
      <c r="R151" s="25" t="s">
        <v>64</v>
      </c>
      <c r="S151" s="28">
        <v>1992</v>
      </c>
      <c r="T151" s="39">
        <v>42.630855409249222</v>
      </c>
      <c r="U151" s="26" t="s">
        <v>544</v>
      </c>
      <c r="V151" s="26" t="s">
        <v>1159</v>
      </c>
      <c r="W151" s="26">
        <v>949000</v>
      </c>
      <c r="X151" s="16" t="s">
        <v>545</v>
      </c>
      <c r="Y151" s="26">
        <v>1200</v>
      </c>
      <c r="Z151" s="26" t="s">
        <v>101</v>
      </c>
      <c r="AA151" s="26">
        <v>4146177.50299463</v>
      </c>
      <c r="AB151" s="29" t="s">
        <v>89</v>
      </c>
      <c r="AC151" s="29" t="s">
        <v>70</v>
      </c>
      <c r="AD151" s="39" t="s">
        <v>70</v>
      </c>
      <c r="AE151" s="29" t="s">
        <v>70</v>
      </c>
      <c r="AF151" s="29" t="s">
        <v>70</v>
      </c>
      <c r="AG151" s="25">
        <v>839968.40324535989</v>
      </c>
      <c r="AH151" s="25" t="s">
        <v>546</v>
      </c>
      <c r="AI151" s="25" t="s">
        <v>69</v>
      </c>
      <c r="AJ151" s="25" t="s">
        <v>547</v>
      </c>
      <c r="AK151" s="17" t="s">
        <v>548</v>
      </c>
      <c r="AL151" s="27">
        <f t="shared" si="37"/>
        <v>1.6397937276756798</v>
      </c>
      <c r="AM151" s="27">
        <f t="shared" si="38"/>
        <v>5.9772666700608577</v>
      </c>
      <c r="AN151" s="27">
        <f t="shared" si="39"/>
        <v>3.079543007402906</v>
      </c>
      <c r="AO151" s="27">
        <f t="shared" si="40"/>
        <v>6.6176479955862968</v>
      </c>
      <c r="AP151" s="27">
        <f t="shared" si="41"/>
        <v>0.61290696900626518</v>
      </c>
      <c r="AQ151" s="27">
        <f t="shared" si="42"/>
        <v>0.83727978913314838</v>
      </c>
      <c r="AR151" s="27">
        <f t="shared" si="43"/>
        <v>0.7647914159186473</v>
      </c>
      <c r="AS151" s="27">
        <f t="shared" si="44"/>
        <v>0.9030429477489077</v>
      </c>
      <c r="AT151" s="27">
        <f t="shared" si="46"/>
        <v>78</v>
      </c>
      <c r="AU151" s="27" t="b">
        <f t="shared" si="45"/>
        <v>0</v>
      </c>
      <c r="AV151" s="11"/>
    </row>
    <row r="152" spans="1:48" s="30" customFormat="1">
      <c r="A152" s="25" t="s">
        <v>563</v>
      </c>
      <c r="B152" s="26" t="s">
        <v>551</v>
      </c>
      <c r="C152" s="26" t="s">
        <v>543</v>
      </c>
      <c r="D152" s="26" t="s">
        <v>518</v>
      </c>
      <c r="E152" s="25" t="s">
        <v>540</v>
      </c>
      <c r="F152" s="25">
        <v>566</v>
      </c>
      <c r="G152" s="25" t="s">
        <v>125</v>
      </c>
      <c r="H152" s="25" t="s">
        <v>173</v>
      </c>
      <c r="I152" s="50">
        <v>6.5715070039999999</v>
      </c>
      <c r="J152" s="50">
        <v>3.2517590809999999</v>
      </c>
      <c r="K152" s="25" t="s">
        <v>62</v>
      </c>
      <c r="L152" s="16" t="s">
        <v>101</v>
      </c>
      <c r="M152" s="25" t="s">
        <v>88</v>
      </c>
      <c r="N152" s="26" t="s">
        <v>61</v>
      </c>
      <c r="O152" s="25">
        <v>4690.3793949999999</v>
      </c>
      <c r="P152" s="25">
        <v>218541212</v>
      </c>
      <c r="Q152" s="27">
        <v>0.17885000600000001</v>
      </c>
      <c r="R152" s="25" t="s">
        <v>64</v>
      </c>
      <c r="S152" s="28">
        <v>2006</v>
      </c>
      <c r="T152" s="39">
        <v>3.1841398170721948</v>
      </c>
      <c r="U152" s="26" t="s">
        <v>544</v>
      </c>
      <c r="V152" s="26" t="s">
        <v>1160</v>
      </c>
      <c r="W152" s="26">
        <v>821250</v>
      </c>
      <c r="X152" s="16" t="s">
        <v>101</v>
      </c>
      <c r="Y152" s="26">
        <v>400</v>
      </c>
      <c r="Z152" s="26" t="s">
        <v>101</v>
      </c>
      <c r="AA152" s="26">
        <v>3446773.1738234898</v>
      </c>
      <c r="AB152" s="29" t="s">
        <v>89</v>
      </c>
      <c r="AC152" s="29" t="s">
        <v>70</v>
      </c>
      <c r="AD152" s="39" t="s">
        <v>70</v>
      </c>
      <c r="AE152" s="29" t="s">
        <v>70</v>
      </c>
      <c r="AF152" s="29" t="s">
        <v>70</v>
      </c>
      <c r="AG152" s="25">
        <v>726895.73357771523</v>
      </c>
      <c r="AH152" s="25" t="s">
        <v>552</v>
      </c>
      <c r="AI152" s="25" t="s">
        <v>69</v>
      </c>
      <c r="AJ152" s="25" t="s">
        <v>547</v>
      </c>
      <c r="AK152" s="17" t="s">
        <v>553</v>
      </c>
      <c r="AL152" s="27">
        <f t="shared" si="37"/>
        <v>0.62160618847116345</v>
      </c>
      <c r="AM152" s="27">
        <f t="shared" si="38"/>
        <v>5.9144759113888021</v>
      </c>
      <c r="AN152" s="27">
        <f t="shared" si="39"/>
        <v>2.6031443726201822</v>
      </c>
      <c r="AO152" s="27">
        <f t="shared" si="40"/>
        <v>6.5374128301804735</v>
      </c>
      <c r="AP152" s="27">
        <f t="shared" si="41"/>
        <v>0.22708917595790509</v>
      </c>
      <c r="AQ152" s="27">
        <f t="shared" si="42"/>
        <v>0.81731951576941708</v>
      </c>
      <c r="AR152" s="27">
        <f t="shared" si="43"/>
        <v>0.64306083771763212</v>
      </c>
      <c r="AS152" s="27">
        <f t="shared" si="44"/>
        <v>0.8827864641542984</v>
      </c>
      <c r="AT152" s="27">
        <f t="shared" si="46"/>
        <v>64.3</v>
      </c>
      <c r="AU152" s="27" t="b">
        <f t="shared" si="45"/>
        <v>0</v>
      </c>
      <c r="AV152" s="11"/>
    </row>
    <row r="153" spans="1:48" s="30" customFormat="1">
      <c r="A153" s="25" t="s">
        <v>564</v>
      </c>
      <c r="B153" s="26" t="s">
        <v>1076</v>
      </c>
      <c r="C153" s="26" t="s">
        <v>543</v>
      </c>
      <c r="D153" s="26" t="s">
        <v>518</v>
      </c>
      <c r="E153" s="25" t="s">
        <v>540</v>
      </c>
      <c r="F153" s="25">
        <v>566</v>
      </c>
      <c r="G153" s="25" t="s">
        <v>125</v>
      </c>
      <c r="H153" s="25" t="s">
        <v>173</v>
      </c>
      <c r="I153" s="50">
        <v>6.4375</v>
      </c>
      <c r="J153" s="50">
        <v>2.8702777777777779</v>
      </c>
      <c r="K153" s="25" t="s">
        <v>859</v>
      </c>
      <c r="L153" s="16" t="s">
        <v>73</v>
      </c>
      <c r="M153" s="25" t="s">
        <v>88</v>
      </c>
      <c r="N153" s="26" t="s">
        <v>61</v>
      </c>
      <c r="O153" s="25">
        <v>4690.3793949999999</v>
      </c>
      <c r="P153" s="25">
        <v>218541212</v>
      </c>
      <c r="Q153" s="27">
        <v>0.17885000600000001</v>
      </c>
      <c r="R153" s="25" t="s">
        <v>64</v>
      </c>
      <c r="S153" s="28" t="s">
        <v>65</v>
      </c>
      <c r="T153" s="39">
        <v>0.61782206692935437</v>
      </c>
      <c r="U153" s="26" t="s">
        <v>66</v>
      </c>
      <c r="V153" s="26" t="s">
        <v>1160</v>
      </c>
      <c r="W153" s="26">
        <v>16838.264998950861</v>
      </c>
      <c r="X153" s="16" t="s">
        <v>67</v>
      </c>
      <c r="Y153" s="52">
        <f>0.0001 *W153</f>
        <v>1.6838264998950863</v>
      </c>
      <c r="Z153" s="26" t="s">
        <v>67</v>
      </c>
      <c r="AA153" s="29">
        <v>86390.566800220404</v>
      </c>
      <c r="AB153" s="29" t="s">
        <v>89</v>
      </c>
      <c r="AC153" s="29" t="s">
        <v>70</v>
      </c>
      <c r="AD153" s="39" t="s">
        <v>70</v>
      </c>
      <c r="AE153" s="29" t="s">
        <v>70</v>
      </c>
      <c r="AF153" s="29" t="s">
        <v>70</v>
      </c>
      <c r="AG153" s="27">
        <v>14903.699225069537</v>
      </c>
      <c r="AH153" s="25" t="s">
        <v>65</v>
      </c>
      <c r="AI153" s="25" t="s">
        <v>69</v>
      </c>
      <c r="AJ153" s="25" t="s">
        <v>65</v>
      </c>
      <c r="AK153" s="17" t="s">
        <v>70</v>
      </c>
      <c r="AL153" s="27">
        <f t="shared" si="37"/>
        <v>0.2089307548534694</v>
      </c>
      <c r="AM153" s="27">
        <f t="shared" si="38"/>
        <v>4.2263231314708687</v>
      </c>
      <c r="AN153" s="27">
        <f t="shared" si="39"/>
        <v>0.42875443676756392</v>
      </c>
      <c r="AO153" s="27">
        <f t="shared" si="40"/>
        <v>4.9364713504547941</v>
      </c>
      <c r="AP153" s="27">
        <f t="shared" si="41"/>
        <v>7.0715699645234539E-2</v>
      </c>
      <c r="AQ153" s="27">
        <f t="shared" si="42"/>
        <v>0.28068018094480124</v>
      </c>
      <c r="AR153" s="27">
        <f t="shared" si="43"/>
        <v>8.7455248615708608E-2</v>
      </c>
      <c r="AS153" s="27">
        <f t="shared" si="44"/>
        <v>0.47860651816718419</v>
      </c>
      <c r="AT153" s="27">
        <f t="shared" si="46"/>
        <v>22.9</v>
      </c>
      <c r="AU153" s="27" t="b">
        <f t="shared" si="45"/>
        <v>0</v>
      </c>
      <c r="AV153" s="11"/>
    </row>
    <row r="154" spans="1:48" s="30" customFormat="1">
      <c r="A154" s="25" t="s">
        <v>566</v>
      </c>
      <c r="B154" s="26" t="s">
        <v>599</v>
      </c>
      <c r="C154" s="26" t="s">
        <v>600</v>
      </c>
      <c r="D154" s="26" t="s">
        <v>518</v>
      </c>
      <c r="E154" s="25" t="s">
        <v>540</v>
      </c>
      <c r="F154" s="25">
        <v>566</v>
      </c>
      <c r="G154" s="25" t="s">
        <v>125</v>
      </c>
      <c r="H154" s="25" t="s">
        <v>173</v>
      </c>
      <c r="I154" s="50">
        <v>6.6891666666666669</v>
      </c>
      <c r="J154" s="50">
        <v>3.3577777777777782</v>
      </c>
      <c r="K154" s="25" t="s">
        <v>62</v>
      </c>
      <c r="L154" s="16" t="s">
        <v>73</v>
      </c>
      <c r="M154" s="25" t="s">
        <v>88</v>
      </c>
      <c r="N154" s="26" t="s">
        <v>61</v>
      </c>
      <c r="O154" s="25">
        <v>4690.3793949999999</v>
      </c>
      <c r="P154" s="25">
        <v>218541212</v>
      </c>
      <c r="Q154" s="27">
        <v>0.17885000600000001</v>
      </c>
      <c r="R154" s="25" t="s">
        <v>64</v>
      </c>
      <c r="S154" s="28" t="s">
        <v>65</v>
      </c>
      <c r="T154" s="39">
        <v>0.32166532466606002</v>
      </c>
      <c r="U154" s="26" t="s">
        <v>66</v>
      </c>
      <c r="V154" s="26" t="s">
        <v>1160</v>
      </c>
      <c r="W154" s="26">
        <v>416517.0953786117</v>
      </c>
      <c r="X154" s="16" t="s">
        <v>67</v>
      </c>
      <c r="Y154" s="26">
        <v>41.651709537861173</v>
      </c>
      <c r="Z154" s="26" t="s">
        <v>67</v>
      </c>
      <c r="AA154" s="26">
        <v>2380191.01796052</v>
      </c>
      <c r="AB154" s="29" t="s">
        <v>89</v>
      </c>
      <c r="AC154" s="29" t="s">
        <v>70</v>
      </c>
      <c r="AD154" s="39" t="s">
        <v>70</v>
      </c>
      <c r="AE154" s="29" t="s">
        <v>70</v>
      </c>
      <c r="AF154" s="29" t="s">
        <v>70</v>
      </c>
      <c r="AG154" s="25">
        <v>368663.0132029166</v>
      </c>
      <c r="AH154" s="25" t="s">
        <v>601</v>
      </c>
      <c r="AI154" s="25" t="s">
        <v>69</v>
      </c>
      <c r="AJ154" s="25" t="s">
        <v>601</v>
      </c>
      <c r="AK154" s="17" t="s">
        <v>602</v>
      </c>
      <c r="AL154" s="27">
        <f t="shared" si="37"/>
        <v>0.12112149595760151</v>
      </c>
      <c r="AM154" s="27">
        <f t="shared" si="38"/>
        <v>5.6196338738157179</v>
      </c>
      <c r="AN154" s="27">
        <f t="shared" si="39"/>
        <v>1.6299364429591212</v>
      </c>
      <c r="AO154" s="27">
        <f t="shared" si="40"/>
        <v>6.3766119944417312</v>
      </c>
      <c r="AP154" s="27">
        <f t="shared" si="41"/>
        <v>3.7442483099209882E-2</v>
      </c>
      <c r="AQ154" s="27">
        <f t="shared" si="42"/>
        <v>0.72359349949662088</v>
      </c>
      <c r="AR154" s="27">
        <f t="shared" si="43"/>
        <v>0.39438429807665421</v>
      </c>
      <c r="AS154" s="27">
        <f t="shared" si="44"/>
        <v>0.84219005639884181</v>
      </c>
      <c r="AT154" s="27">
        <f t="shared" si="46"/>
        <v>49.9</v>
      </c>
      <c r="AU154" s="27" t="b">
        <f t="shared" si="45"/>
        <v>0</v>
      </c>
      <c r="AV154" s="11"/>
    </row>
    <row r="155" spans="1:48" s="30" customFormat="1">
      <c r="A155" s="25" t="s">
        <v>567</v>
      </c>
      <c r="B155" s="26" t="s">
        <v>1067</v>
      </c>
      <c r="C155" s="26" t="s">
        <v>543</v>
      </c>
      <c r="D155" s="26" t="s">
        <v>518</v>
      </c>
      <c r="E155" s="25" t="s">
        <v>540</v>
      </c>
      <c r="F155" s="25">
        <v>566</v>
      </c>
      <c r="G155" s="25" t="s">
        <v>125</v>
      </c>
      <c r="H155" s="25" t="s">
        <v>173</v>
      </c>
      <c r="I155" s="50">
        <v>6.5555555555555554</v>
      </c>
      <c r="J155" s="50">
        <v>3.2875000000000001</v>
      </c>
      <c r="K155" s="25" t="s">
        <v>62</v>
      </c>
      <c r="L155" s="16" t="s">
        <v>73</v>
      </c>
      <c r="M155" s="25" t="s">
        <v>88</v>
      </c>
      <c r="N155" s="26" t="s">
        <v>61</v>
      </c>
      <c r="O155" s="25">
        <v>4690.3793949999999</v>
      </c>
      <c r="P155" s="25">
        <v>218541212</v>
      </c>
      <c r="Q155" s="27">
        <v>0.17885000600000001</v>
      </c>
      <c r="R155" s="25" t="s">
        <v>64</v>
      </c>
      <c r="S155" s="28" t="s">
        <v>65</v>
      </c>
      <c r="T155" s="39">
        <v>251.01146735465019</v>
      </c>
      <c r="U155" s="26" t="s">
        <v>66</v>
      </c>
      <c r="V155" s="26" t="s">
        <v>1160</v>
      </c>
      <c r="W155" s="26">
        <v>866747.66714369366</v>
      </c>
      <c r="X155" s="16" t="s">
        <v>67</v>
      </c>
      <c r="Y155" s="26">
        <v>86.674766714369369</v>
      </c>
      <c r="Z155" s="26" t="s">
        <v>67</v>
      </c>
      <c r="AA155" s="26">
        <v>4953428.7702132901</v>
      </c>
      <c r="AB155" s="29" t="s">
        <v>68</v>
      </c>
      <c r="AC155" s="29" t="s">
        <v>1149</v>
      </c>
      <c r="AD155" s="39">
        <v>1</v>
      </c>
      <c r="AE155" s="26">
        <v>1</v>
      </c>
      <c r="AF155" s="29" t="s">
        <v>1151</v>
      </c>
      <c r="AG155" s="25">
        <v>767166.1264355419</v>
      </c>
      <c r="AH155" s="25" t="s">
        <v>65</v>
      </c>
      <c r="AI155" s="25" t="s">
        <v>69</v>
      </c>
      <c r="AJ155" s="25" t="s">
        <v>65</v>
      </c>
      <c r="AK155" s="17" t="s">
        <v>70</v>
      </c>
      <c r="AL155" s="27">
        <f t="shared" si="37"/>
        <v>2.4014203030654206</v>
      </c>
      <c r="AM155" s="27">
        <f t="shared" si="38"/>
        <v>5.9378931824858219</v>
      </c>
      <c r="AN155" s="27">
        <f t="shared" si="39"/>
        <v>1.9428746189812918</v>
      </c>
      <c r="AO155" s="27">
        <f t="shared" si="40"/>
        <v>6.6949060099398441</v>
      </c>
      <c r="AP155" s="27">
        <f t="shared" si="41"/>
        <v>0.90150712676642297</v>
      </c>
      <c r="AQ155" s="27">
        <f t="shared" si="42"/>
        <v>0.82476352731529345</v>
      </c>
      <c r="AR155" s="27">
        <f t="shared" si="43"/>
        <v>0.47434704844373676</v>
      </c>
      <c r="AS155" s="27">
        <f t="shared" si="44"/>
        <v>0.92254780814757698</v>
      </c>
      <c r="AT155" s="27">
        <f t="shared" si="46"/>
        <v>78.099999999999994</v>
      </c>
      <c r="AU155" s="27" t="b">
        <f t="shared" si="45"/>
        <v>0</v>
      </c>
      <c r="AV155" s="11"/>
    </row>
    <row r="156" spans="1:48" s="30" customFormat="1">
      <c r="A156" s="25" t="s">
        <v>574</v>
      </c>
      <c r="B156" s="26" t="s">
        <v>575</v>
      </c>
      <c r="C156" s="26" t="s">
        <v>576</v>
      </c>
      <c r="D156" s="26" t="s">
        <v>518</v>
      </c>
      <c r="E156" s="25" t="s">
        <v>540</v>
      </c>
      <c r="F156" s="25">
        <v>566</v>
      </c>
      <c r="G156" s="25" t="s">
        <v>125</v>
      </c>
      <c r="H156" s="25" t="s">
        <v>173</v>
      </c>
      <c r="I156" s="50">
        <v>4.8904135999999996</v>
      </c>
      <c r="J156" s="50">
        <v>7.0429871999999998</v>
      </c>
      <c r="K156" s="25" t="s">
        <v>859</v>
      </c>
      <c r="L156" s="16" t="s">
        <v>101</v>
      </c>
      <c r="M156" s="25" t="s">
        <v>88</v>
      </c>
      <c r="N156" s="26" t="s">
        <v>61</v>
      </c>
      <c r="O156" s="25">
        <v>4690.3793949999999</v>
      </c>
      <c r="P156" s="25">
        <v>218541212</v>
      </c>
      <c r="Q156" s="27">
        <v>0.17885000600000001</v>
      </c>
      <c r="R156" s="25" t="s">
        <v>64</v>
      </c>
      <c r="S156" s="28" t="s">
        <v>65</v>
      </c>
      <c r="T156" s="39">
        <v>1.526489785748709</v>
      </c>
      <c r="U156" s="26" t="s">
        <v>66</v>
      </c>
      <c r="V156" s="26" t="s">
        <v>1160</v>
      </c>
      <c r="W156" s="26">
        <v>45600</v>
      </c>
      <c r="X156" s="16" t="s">
        <v>101</v>
      </c>
      <c r="Y156" s="26">
        <v>4.5600000000000005</v>
      </c>
      <c r="Z156" s="26" t="s">
        <v>387</v>
      </c>
      <c r="AA156" s="26">
        <v>1154076.91223048</v>
      </c>
      <c r="AB156" s="29" t="s">
        <v>89</v>
      </c>
      <c r="AC156" s="29" t="s">
        <v>70</v>
      </c>
      <c r="AD156" s="39" t="s">
        <v>70</v>
      </c>
      <c r="AE156" s="29" t="s">
        <v>70</v>
      </c>
      <c r="AF156" s="29" t="s">
        <v>70</v>
      </c>
      <c r="AG156" s="25">
        <v>40360.968585867668</v>
      </c>
      <c r="AH156" s="25" t="s">
        <v>577</v>
      </c>
      <c r="AI156" s="25" t="s">
        <v>69</v>
      </c>
      <c r="AJ156" s="25" t="s">
        <v>577</v>
      </c>
      <c r="AK156" s="17" t="s">
        <v>578</v>
      </c>
      <c r="AL156" s="27">
        <f t="shared" si="37"/>
        <v>0.4025175467848412</v>
      </c>
      <c r="AM156" s="27">
        <f t="shared" si="38"/>
        <v>4.6589743665618029</v>
      </c>
      <c r="AN156" s="27">
        <f t="shared" si="39"/>
        <v>0.74507479158205747</v>
      </c>
      <c r="AO156" s="27">
        <f t="shared" si="40"/>
        <v>6.0622351291919614</v>
      </c>
      <c r="AP156" s="27">
        <f t="shared" si="41"/>
        <v>0.1440707800704249</v>
      </c>
      <c r="AQ156" s="27">
        <f t="shared" si="42"/>
        <v>0.41821374649183324</v>
      </c>
      <c r="AR156" s="27">
        <f t="shared" si="43"/>
        <v>0.16828222182036595</v>
      </c>
      <c r="AS156" s="27">
        <f t="shared" si="44"/>
        <v>0.76282124371867888</v>
      </c>
      <c r="AT156" s="27">
        <f t="shared" si="46"/>
        <v>37.299999999999997</v>
      </c>
      <c r="AU156" s="27" t="b">
        <f t="shared" si="45"/>
        <v>0</v>
      </c>
      <c r="AV156" s="11"/>
    </row>
    <row r="157" spans="1:48" s="30" customFormat="1">
      <c r="A157" s="25" t="s">
        <v>579</v>
      </c>
      <c r="B157" s="26" t="s">
        <v>1131</v>
      </c>
      <c r="C157" s="26" t="s">
        <v>543</v>
      </c>
      <c r="D157" s="26" t="s">
        <v>518</v>
      </c>
      <c r="E157" s="25" t="s">
        <v>540</v>
      </c>
      <c r="F157" s="25">
        <v>566</v>
      </c>
      <c r="G157" s="25" t="s">
        <v>125</v>
      </c>
      <c r="H157" s="25" t="s">
        <v>173</v>
      </c>
      <c r="I157" s="50">
        <v>6.5136111111111106</v>
      </c>
      <c r="J157" s="50">
        <v>3.3925000000000001</v>
      </c>
      <c r="K157" s="25" t="s">
        <v>62</v>
      </c>
      <c r="L157" s="16" t="s">
        <v>73</v>
      </c>
      <c r="M157" s="25" t="s">
        <v>88</v>
      </c>
      <c r="N157" s="26" t="s">
        <v>61</v>
      </c>
      <c r="O157" s="25">
        <v>4690.3793949999999</v>
      </c>
      <c r="P157" s="25">
        <v>218541212</v>
      </c>
      <c r="Q157" s="27">
        <v>0.17885000600000001</v>
      </c>
      <c r="R157" s="25" t="s">
        <v>64</v>
      </c>
      <c r="S157" s="28" t="s">
        <v>65</v>
      </c>
      <c r="T157" s="39">
        <v>1.4337243217355802</v>
      </c>
      <c r="U157" s="26" t="s">
        <v>66</v>
      </c>
      <c r="V157" s="26" t="s">
        <v>1160</v>
      </c>
      <c r="W157" s="26">
        <v>768874.63273768697</v>
      </c>
      <c r="X157" s="16" t="s">
        <v>67</v>
      </c>
      <c r="Y157" s="26">
        <v>76.887463273768702</v>
      </c>
      <c r="Z157" s="26" t="s">
        <v>67</v>
      </c>
      <c r="AA157" s="26">
        <v>4302336.0488923499</v>
      </c>
      <c r="AB157" s="29" t="s">
        <v>89</v>
      </c>
      <c r="AC157" s="29" t="s">
        <v>70</v>
      </c>
      <c r="AD157" s="39" t="s">
        <v>70</v>
      </c>
      <c r="AE157" s="29" t="s">
        <v>70</v>
      </c>
      <c r="AF157" s="29" t="s">
        <v>70</v>
      </c>
      <c r="AG157" s="25">
        <v>680537.8267192177</v>
      </c>
      <c r="AH157" s="25" t="s">
        <v>65</v>
      </c>
      <c r="AI157" s="25" t="s">
        <v>69</v>
      </c>
      <c r="AJ157" s="25" t="s">
        <v>65</v>
      </c>
      <c r="AK157" s="17" t="s">
        <v>70</v>
      </c>
      <c r="AL157" s="27">
        <f t="shared" si="37"/>
        <v>0.38627138230420549</v>
      </c>
      <c r="AM157" s="27">
        <f t="shared" si="38"/>
        <v>5.8858560974297855</v>
      </c>
      <c r="AN157" s="27">
        <f t="shared" si="39"/>
        <v>1.8914675594802359</v>
      </c>
      <c r="AO157" s="27">
        <f t="shared" si="40"/>
        <v>6.6337044303983106</v>
      </c>
      <c r="AP157" s="27">
        <f t="shared" si="41"/>
        <v>0.13791468496606268</v>
      </c>
      <c r="AQ157" s="27">
        <f t="shared" si="42"/>
        <v>0.80822169114804743</v>
      </c>
      <c r="AR157" s="27">
        <f t="shared" si="43"/>
        <v>0.4612113872142885</v>
      </c>
      <c r="AS157" s="27">
        <f t="shared" si="44"/>
        <v>0.90709661806556252</v>
      </c>
      <c r="AT157" s="27">
        <f t="shared" si="46"/>
        <v>57.9</v>
      </c>
      <c r="AU157" s="27" t="b">
        <f t="shared" si="45"/>
        <v>0</v>
      </c>
      <c r="AV157" s="11"/>
    </row>
    <row r="158" spans="1:48" s="30" customFormat="1">
      <c r="A158" s="25" t="s">
        <v>589</v>
      </c>
      <c r="B158" s="26" t="s">
        <v>950</v>
      </c>
      <c r="C158" s="26" t="s">
        <v>604</v>
      </c>
      <c r="D158" s="26" t="s">
        <v>590</v>
      </c>
      <c r="E158" s="25" t="s">
        <v>605</v>
      </c>
      <c r="F158" s="25">
        <v>586</v>
      </c>
      <c r="G158" s="25" t="s">
        <v>86</v>
      </c>
      <c r="H158" s="25" t="s">
        <v>87</v>
      </c>
      <c r="I158" s="50">
        <v>25.0281939884363</v>
      </c>
      <c r="J158" s="50">
        <v>67.033929140926702</v>
      </c>
      <c r="K158" s="25" t="s">
        <v>62</v>
      </c>
      <c r="L158" s="16" t="s">
        <v>101</v>
      </c>
      <c r="M158" s="25" t="s">
        <v>88</v>
      </c>
      <c r="N158" s="26" t="s">
        <v>61</v>
      </c>
      <c r="O158" s="25">
        <v>4571.4145509999998</v>
      </c>
      <c r="P158" s="25">
        <v>235824862</v>
      </c>
      <c r="Q158" s="27">
        <v>0.15921038900000001</v>
      </c>
      <c r="R158" s="25" t="s">
        <v>64</v>
      </c>
      <c r="S158" s="28">
        <v>1996</v>
      </c>
      <c r="T158" s="39">
        <v>78.432869956306419</v>
      </c>
      <c r="U158" s="26" t="s">
        <v>842</v>
      </c>
      <c r="V158" s="26" t="s">
        <v>1160</v>
      </c>
      <c r="W158" s="26">
        <v>2190000</v>
      </c>
      <c r="X158" s="16" t="s">
        <v>606</v>
      </c>
      <c r="Y158" s="26">
        <v>5000</v>
      </c>
      <c r="Z158" s="26" t="s">
        <v>101</v>
      </c>
      <c r="AA158" s="26">
        <v>3540560.39966864</v>
      </c>
      <c r="AB158" s="29" t="s">
        <v>68</v>
      </c>
      <c r="AC158" s="29" t="s">
        <v>1150</v>
      </c>
      <c r="AD158" s="39">
        <v>0</v>
      </c>
      <c r="AE158" s="26">
        <v>2</v>
      </c>
      <c r="AF158" s="29" t="s">
        <v>1151</v>
      </c>
      <c r="AG158" s="25">
        <v>2194553.6094527557</v>
      </c>
      <c r="AH158" s="25" t="s">
        <v>607</v>
      </c>
      <c r="AI158" s="25" t="s">
        <v>69</v>
      </c>
      <c r="AJ158" s="25" t="s">
        <v>607</v>
      </c>
      <c r="AK158" s="17" t="s">
        <v>608</v>
      </c>
      <c r="AL158" s="27">
        <f t="shared" si="37"/>
        <v>1.9000002541479082</v>
      </c>
      <c r="AM158" s="27">
        <f t="shared" si="38"/>
        <v>6.3404443131480557</v>
      </c>
      <c r="AN158" s="27">
        <f t="shared" si="39"/>
        <v>3.6990568545476679</v>
      </c>
      <c r="AO158" s="27">
        <f t="shared" si="40"/>
        <v>6.5490721302312824</v>
      </c>
      <c r="AP158" s="27">
        <f t="shared" si="41"/>
        <v>0.71150600299044531</v>
      </c>
      <c r="AQ158" s="27">
        <f t="shared" si="42"/>
        <v>0.95272870532600629</v>
      </c>
      <c r="AR158" s="27">
        <f t="shared" si="43"/>
        <v>0.92309115338716863</v>
      </c>
      <c r="AS158" s="27">
        <f t="shared" si="44"/>
        <v>0.88573001663542406</v>
      </c>
      <c r="AT158" s="27">
        <f t="shared" si="46"/>
        <v>86.8</v>
      </c>
      <c r="AU158" s="27" t="b">
        <f t="shared" si="45"/>
        <v>0</v>
      </c>
      <c r="AV158" s="11"/>
    </row>
    <row r="159" spans="1:48" s="30" customFormat="1">
      <c r="A159" s="25" t="s">
        <v>592</v>
      </c>
      <c r="B159" s="26" t="s">
        <v>627</v>
      </c>
      <c r="C159" s="26" t="s">
        <v>628</v>
      </c>
      <c r="D159" s="26" t="s">
        <v>594</v>
      </c>
      <c r="E159" s="25" t="s">
        <v>612</v>
      </c>
      <c r="F159" s="25">
        <v>604</v>
      </c>
      <c r="G159" s="25" t="s">
        <v>58</v>
      </c>
      <c r="H159" s="25" t="s">
        <v>59</v>
      </c>
      <c r="I159" s="50">
        <f>-16.273671</f>
        <v>-16.273671</v>
      </c>
      <c r="J159" s="50">
        <v>-71.647851000000003</v>
      </c>
      <c r="K159" s="25" t="s">
        <v>62</v>
      </c>
      <c r="L159" s="16" t="s">
        <v>101</v>
      </c>
      <c r="M159" s="25" t="s">
        <v>60</v>
      </c>
      <c r="N159" s="26" t="s">
        <v>61</v>
      </c>
      <c r="O159" s="25">
        <v>11877.083979999999</v>
      </c>
      <c r="P159" s="25">
        <v>34049588</v>
      </c>
      <c r="Q159" s="27">
        <v>0.269803236</v>
      </c>
      <c r="R159" s="25" t="s">
        <v>64</v>
      </c>
      <c r="S159" s="28">
        <v>2008</v>
      </c>
      <c r="T159" s="39">
        <v>7.918905332673714</v>
      </c>
      <c r="U159" s="26" t="s">
        <v>836</v>
      </c>
      <c r="V159" s="26" t="s">
        <v>1159</v>
      </c>
      <c r="W159" s="26">
        <v>126000</v>
      </c>
      <c r="X159" s="16" t="s">
        <v>101</v>
      </c>
      <c r="Y159" s="26">
        <v>70</v>
      </c>
      <c r="Z159" s="26" t="s">
        <v>101</v>
      </c>
      <c r="AA159" s="26">
        <v>76069.268130335506</v>
      </c>
      <c r="AB159" s="29" t="s">
        <v>89</v>
      </c>
      <c r="AC159" s="29" t="s">
        <v>70</v>
      </c>
      <c r="AD159" s="39" t="s">
        <v>70</v>
      </c>
      <c r="AE159" s="29" t="s">
        <v>70</v>
      </c>
      <c r="AF159" s="29" t="s">
        <v>70</v>
      </c>
      <c r="AG159" s="25">
        <v>141085.96580102667</v>
      </c>
      <c r="AH159" s="25" t="s">
        <v>629</v>
      </c>
      <c r="AI159" s="25" t="s">
        <v>69</v>
      </c>
      <c r="AJ159" s="25" t="s">
        <v>629</v>
      </c>
      <c r="AK159" s="17" t="s">
        <v>630</v>
      </c>
      <c r="AL159" s="27">
        <f t="shared" si="37"/>
        <v>0.95031155424687663</v>
      </c>
      <c r="AM159" s="27">
        <f t="shared" si="38"/>
        <v>5.1003739918854878</v>
      </c>
      <c r="AN159" s="27">
        <f t="shared" si="39"/>
        <v>1.8512583487190752</v>
      </c>
      <c r="AO159" s="27">
        <f t="shared" si="40"/>
        <v>4.881214947046657</v>
      </c>
      <c r="AP159" s="27">
        <f t="shared" si="41"/>
        <v>0.35164420526598433</v>
      </c>
      <c r="AQ159" s="27">
        <f t="shared" si="42"/>
        <v>0.55852829867179177</v>
      </c>
      <c r="AR159" s="27">
        <f t="shared" si="43"/>
        <v>0.45093702847857353</v>
      </c>
      <c r="AS159" s="27">
        <f t="shared" si="44"/>
        <v>0.46465627049868735</v>
      </c>
      <c r="AT159" s="27">
        <f t="shared" si="46"/>
        <v>45.6</v>
      </c>
      <c r="AU159" s="27" t="b">
        <f t="shared" si="45"/>
        <v>0</v>
      </c>
      <c r="AV159" s="11"/>
    </row>
    <row r="160" spans="1:48" s="30" customFormat="1">
      <c r="A160" s="25" t="s">
        <v>598</v>
      </c>
      <c r="B160" s="26" t="s">
        <v>643</v>
      </c>
      <c r="C160" s="26" t="s">
        <v>644</v>
      </c>
      <c r="D160" s="26" t="s">
        <v>594</v>
      </c>
      <c r="E160" s="25" t="s">
        <v>612</v>
      </c>
      <c r="F160" s="25">
        <v>604</v>
      </c>
      <c r="G160" s="25" t="s">
        <v>58</v>
      </c>
      <c r="H160" s="25" t="s">
        <v>59</v>
      </c>
      <c r="I160" s="50">
        <v>-9.0388099999999998</v>
      </c>
      <c r="J160" s="50">
        <v>-78.609440000000006</v>
      </c>
      <c r="K160" s="25" t="s">
        <v>62</v>
      </c>
      <c r="L160" s="16" t="s">
        <v>387</v>
      </c>
      <c r="M160" s="25" t="s">
        <v>60</v>
      </c>
      <c r="N160" s="26" t="s">
        <v>61</v>
      </c>
      <c r="O160" s="25">
        <v>11877.083979999999</v>
      </c>
      <c r="P160" s="25">
        <v>34049588</v>
      </c>
      <c r="Q160" s="27">
        <v>0.269803236</v>
      </c>
      <c r="R160" s="25" t="s">
        <v>64</v>
      </c>
      <c r="S160" s="28" t="s">
        <v>65</v>
      </c>
      <c r="T160" s="39">
        <v>2.44363596728819</v>
      </c>
      <c r="U160" s="26" t="s">
        <v>66</v>
      </c>
      <c r="V160" s="26" t="s">
        <v>1160</v>
      </c>
      <c r="W160" s="26">
        <v>70129.038628345574</v>
      </c>
      <c r="X160" s="16" t="s">
        <v>79</v>
      </c>
      <c r="Y160" s="26">
        <v>20</v>
      </c>
      <c r="Z160" s="26" t="s">
        <v>387</v>
      </c>
      <c r="AA160" s="26">
        <v>267533.287662827</v>
      </c>
      <c r="AB160" s="29" t="s">
        <v>89</v>
      </c>
      <c r="AC160" s="29" t="s">
        <v>70</v>
      </c>
      <c r="AD160" s="39" t="s">
        <v>70</v>
      </c>
      <c r="AE160" s="29" t="s">
        <v>70</v>
      </c>
      <c r="AF160" s="29" t="s">
        <v>70</v>
      </c>
      <c r="AG160" s="25">
        <v>78525.580520457486</v>
      </c>
      <c r="AH160" s="25" t="s">
        <v>646</v>
      </c>
      <c r="AI160" s="25" t="s">
        <v>69</v>
      </c>
      <c r="AJ160" s="25" t="s">
        <v>646</v>
      </c>
      <c r="AK160" s="17" t="s">
        <v>641</v>
      </c>
      <c r="AL160" s="27">
        <f t="shared" si="37"/>
        <v>0.53701723518752553</v>
      </c>
      <c r="AM160" s="27">
        <f t="shared" si="38"/>
        <v>4.8459040781127092</v>
      </c>
      <c r="AN160" s="27">
        <f t="shared" si="39"/>
        <v>1.3222192947339193</v>
      </c>
      <c r="AO160" s="27">
        <f t="shared" si="40"/>
        <v>5.4273794498656498</v>
      </c>
      <c r="AP160" s="27">
        <f t="shared" si="41"/>
        <v>0.1950362171310257</v>
      </c>
      <c r="AQ160" s="27">
        <f t="shared" si="42"/>
        <v>0.47763599621884684</v>
      </c>
      <c r="AR160" s="27">
        <f t="shared" si="43"/>
        <v>0.31575563787298794</v>
      </c>
      <c r="AS160" s="27">
        <f t="shared" si="44"/>
        <v>0.60254309649765192</v>
      </c>
      <c r="AT160" s="27">
        <f t="shared" si="46"/>
        <v>39.799999999999997</v>
      </c>
      <c r="AU160" s="27" t="b">
        <f t="shared" si="45"/>
        <v>0</v>
      </c>
      <c r="AV160" s="11"/>
    </row>
    <row r="161" spans="1:48" s="30" customFormat="1">
      <c r="A161" s="25" t="s">
        <v>603</v>
      </c>
      <c r="B161" s="26" t="s">
        <v>632</v>
      </c>
      <c r="C161" s="26" t="s">
        <v>633</v>
      </c>
      <c r="D161" s="26" t="s">
        <v>594</v>
      </c>
      <c r="E161" s="25" t="s">
        <v>612</v>
      </c>
      <c r="F161" s="25">
        <v>604</v>
      </c>
      <c r="G161" s="25" t="s">
        <v>58</v>
      </c>
      <c r="H161" s="25" t="s">
        <v>59</v>
      </c>
      <c r="I161" s="50">
        <v>-13.55214949</v>
      </c>
      <c r="J161" s="50">
        <v>-72.017253760000003</v>
      </c>
      <c r="K161" s="25" t="s">
        <v>62</v>
      </c>
      <c r="L161" s="16" t="s">
        <v>101</v>
      </c>
      <c r="M161" s="25" t="s">
        <v>60</v>
      </c>
      <c r="N161" s="26" t="s">
        <v>61</v>
      </c>
      <c r="O161" s="25">
        <v>11877.083979999999</v>
      </c>
      <c r="P161" s="25">
        <v>34049588</v>
      </c>
      <c r="Q161" s="27">
        <v>0.269803236</v>
      </c>
      <c r="R161" s="25" t="s">
        <v>64</v>
      </c>
      <c r="S161" s="28">
        <v>2001</v>
      </c>
      <c r="T161" s="39">
        <v>2.6586056527219948</v>
      </c>
      <c r="U161" s="26" t="s">
        <v>634</v>
      </c>
      <c r="V161" s="26" t="s">
        <v>1159</v>
      </c>
      <c r="W161" s="26">
        <v>124000</v>
      </c>
      <c r="X161" s="16" t="s">
        <v>101</v>
      </c>
      <c r="Y161" s="26">
        <v>40</v>
      </c>
      <c r="Z161" s="26" t="s">
        <v>101</v>
      </c>
      <c r="AA161" s="26">
        <v>384828.30626265297</v>
      </c>
      <c r="AB161" s="29" t="s">
        <v>89</v>
      </c>
      <c r="AC161" s="29" t="s">
        <v>70</v>
      </c>
      <c r="AD161" s="39" t="s">
        <v>70</v>
      </c>
      <c r="AE161" s="29" t="s">
        <v>70</v>
      </c>
      <c r="AF161" s="29" t="s">
        <v>70</v>
      </c>
      <c r="AG161" s="25">
        <v>138846.50602640733</v>
      </c>
      <c r="AH161" s="25" t="s">
        <v>635</v>
      </c>
      <c r="AI161" s="25" t="s">
        <v>69</v>
      </c>
      <c r="AJ161" s="25" t="s">
        <v>635</v>
      </c>
      <c r="AK161" s="17" t="s">
        <v>636</v>
      </c>
      <c r="AL161" s="27">
        <f t="shared" si="37"/>
        <v>0.56331560104814149</v>
      </c>
      <c r="AM161" s="27">
        <f t="shared" si="38"/>
        <v>5.0934251875229668</v>
      </c>
      <c r="AN161" s="27">
        <f t="shared" si="39"/>
        <v>1.6127838567197355</v>
      </c>
      <c r="AO161" s="27">
        <f t="shared" si="40"/>
        <v>5.5852681378551639</v>
      </c>
      <c r="AP161" s="27">
        <f t="shared" si="41"/>
        <v>0.20500135330333466</v>
      </c>
      <c r="AQ161" s="27">
        <f t="shared" si="42"/>
        <v>0.5563193743402447</v>
      </c>
      <c r="AR161" s="27">
        <f t="shared" si="43"/>
        <v>0.39000142606965216</v>
      </c>
      <c r="AS161" s="27">
        <f t="shared" si="44"/>
        <v>0.64240429204523231</v>
      </c>
      <c r="AT161" s="27">
        <f t="shared" si="46"/>
        <v>44.8</v>
      </c>
      <c r="AU161" s="27" t="b">
        <f t="shared" si="45"/>
        <v>0</v>
      </c>
      <c r="AV161" s="11"/>
    </row>
    <row r="162" spans="1:48" s="30" customFormat="1">
      <c r="A162" s="25" t="s">
        <v>609</v>
      </c>
      <c r="B162" s="26" t="s">
        <v>622</v>
      </c>
      <c r="C162" s="26" t="s">
        <v>623</v>
      </c>
      <c r="D162" s="26" t="s">
        <v>594</v>
      </c>
      <c r="E162" s="25" t="s">
        <v>612</v>
      </c>
      <c r="F162" s="25">
        <v>604</v>
      </c>
      <c r="G162" s="25" t="s">
        <v>58</v>
      </c>
      <c r="H162" s="25" t="s">
        <v>59</v>
      </c>
      <c r="I162" s="50">
        <v>-15.499269999999999</v>
      </c>
      <c r="J162" s="50">
        <v>-70.102959999999996</v>
      </c>
      <c r="K162" s="25" t="s">
        <v>62</v>
      </c>
      <c r="L162" s="16" t="s">
        <v>951</v>
      </c>
      <c r="M162" s="25" t="s">
        <v>60</v>
      </c>
      <c r="N162" s="26" t="s">
        <v>61</v>
      </c>
      <c r="O162" s="25">
        <v>11877.083979999999</v>
      </c>
      <c r="P162" s="25">
        <v>34049588</v>
      </c>
      <c r="Q162" s="27">
        <v>0.269803236</v>
      </c>
      <c r="R162" s="25" t="s">
        <v>64</v>
      </c>
      <c r="S162" s="28" t="s">
        <v>65</v>
      </c>
      <c r="T162" s="39">
        <v>8.4435091854124789</v>
      </c>
      <c r="U162" s="26" t="s">
        <v>66</v>
      </c>
      <c r="V162" s="26" t="s">
        <v>1159</v>
      </c>
      <c r="W162" s="26">
        <v>273750</v>
      </c>
      <c r="X162" s="16" t="s">
        <v>67</v>
      </c>
      <c r="Y162" s="26">
        <v>27.375</v>
      </c>
      <c r="Z162" s="26" t="s">
        <v>67</v>
      </c>
      <c r="AA162" s="26">
        <v>327100.42673492298</v>
      </c>
      <c r="AB162" s="29" t="s">
        <v>89</v>
      </c>
      <c r="AC162" s="29" t="s">
        <v>70</v>
      </c>
      <c r="AD162" s="39" t="s">
        <v>70</v>
      </c>
      <c r="AE162" s="29" t="s">
        <v>70</v>
      </c>
      <c r="AF162" s="29" t="s">
        <v>70</v>
      </c>
      <c r="AG162" s="25">
        <v>306526.05665103992</v>
      </c>
      <c r="AH162" s="25" t="s">
        <v>624</v>
      </c>
      <c r="AI162" s="25" t="s">
        <v>69</v>
      </c>
      <c r="AJ162" s="25" t="s">
        <v>624</v>
      </c>
      <c r="AK162" s="17" t="s">
        <v>625</v>
      </c>
      <c r="AL162" s="27">
        <f t="shared" si="37"/>
        <v>0.97513340708032192</v>
      </c>
      <c r="AM162" s="27">
        <f t="shared" si="38"/>
        <v>5.4373557143091382</v>
      </c>
      <c r="AN162" s="27">
        <f t="shared" si="39"/>
        <v>1.4529358702011792</v>
      </c>
      <c r="AO162" s="27">
        <f t="shared" si="40"/>
        <v>5.5146824384134341</v>
      </c>
      <c r="AP162" s="27">
        <f t="shared" si="41"/>
        <v>0.36104985217367791</v>
      </c>
      <c r="AQ162" s="27">
        <f t="shared" si="42"/>
        <v>0.66564991083906977</v>
      </c>
      <c r="AR162" s="27">
        <f t="shared" si="43"/>
        <v>0.34915666623517755</v>
      </c>
      <c r="AS162" s="27">
        <f t="shared" si="44"/>
        <v>0.62458395035934544</v>
      </c>
      <c r="AT162" s="27">
        <f t="shared" si="46"/>
        <v>50</v>
      </c>
      <c r="AU162" s="27" t="b">
        <f t="shared" si="45"/>
        <v>0</v>
      </c>
      <c r="AV162" s="11"/>
    </row>
    <row r="163" spans="1:48" s="30" customFormat="1">
      <c r="A163" s="25" t="s">
        <v>615</v>
      </c>
      <c r="B163" s="26" t="s">
        <v>652</v>
      </c>
      <c r="C163" s="26" t="s">
        <v>653</v>
      </c>
      <c r="D163" s="26" t="s">
        <v>594</v>
      </c>
      <c r="E163" s="25" t="s">
        <v>612</v>
      </c>
      <c r="F163" s="25">
        <v>604</v>
      </c>
      <c r="G163" s="25" t="s">
        <v>58</v>
      </c>
      <c r="H163" s="25" t="s">
        <v>59</v>
      </c>
      <c r="I163" s="50">
        <v>-5.9961219999999997</v>
      </c>
      <c r="J163" s="50">
        <v>-76.995096000000004</v>
      </c>
      <c r="K163" s="25" t="s">
        <v>62</v>
      </c>
      <c r="L163" s="16" t="s">
        <v>387</v>
      </c>
      <c r="M163" s="25" t="s">
        <v>60</v>
      </c>
      <c r="N163" s="26" t="s">
        <v>61</v>
      </c>
      <c r="O163" s="25">
        <v>11877.083979999999</v>
      </c>
      <c r="P163" s="25">
        <v>34049588</v>
      </c>
      <c r="Q163" s="27">
        <v>0.269803236</v>
      </c>
      <c r="R163" s="25" t="s">
        <v>64</v>
      </c>
      <c r="S163" s="28" t="s">
        <v>65</v>
      </c>
      <c r="T163" s="39">
        <v>24</v>
      </c>
      <c r="U163" s="26" t="s">
        <v>66</v>
      </c>
      <c r="V163" s="26" t="s">
        <v>1159</v>
      </c>
      <c r="W163" s="26">
        <v>25958.146666638364</v>
      </c>
      <c r="X163" s="16" t="s">
        <v>654</v>
      </c>
      <c r="Y163" s="26">
        <v>5</v>
      </c>
      <c r="Z163" s="26" t="s">
        <v>67</v>
      </c>
      <c r="AA163" s="26">
        <v>95927.420788846997</v>
      </c>
      <c r="AB163" s="29" t="s">
        <v>89</v>
      </c>
      <c r="AC163" s="29" t="s">
        <v>70</v>
      </c>
      <c r="AD163" s="39" t="s">
        <v>70</v>
      </c>
      <c r="AE163" s="29" t="s">
        <v>70</v>
      </c>
      <c r="AF163" s="29" t="s">
        <v>70</v>
      </c>
      <c r="AG163" s="25">
        <v>29066.11264180459</v>
      </c>
      <c r="AH163" s="25" t="s">
        <v>655</v>
      </c>
      <c r="AI163" s="25" t="s">
        <v>69</v>
      </c>
      <c r="AJ163" s="25" t="s">
        <v>655</v>
      </c>
      <c r="AK163" s="17" t="s">
        <v>656</v>
      </c>
      <c r="AL163" s="27">
        <f t="shared" si="37"/>
        <v>1.3979400086720377</v>
      </c>
      <c r="AM163" s="27">
        <f t="shared" si="38"/>
        <v>4.4142904121629503</v>
      </c>
      <c r="AN163" s="27">
        <f t="shared" si="39"/>
        <v>0.77815125038364363</v>
      </c>
      <c r="AO163" s="27">
        <f t="shared" si="40"/>
        <v>4.9819472950033337</v>
      </c>
      <c r="AP163" s="27">
        <f t="shared" si="41"/>
        <v>0.52126229205468388</v>
      </c>
      <c r="AQ163" s="27">
        <f t="shared" si="42"/>
        <v>0.34043225888427198</v>
      </c>
      <c r="AR163" s="27">
        <f t="shared" si="43"/>
        <v>0.17673400182304272</v>
      </c>
      <c r="AS163" s="27">
        <f t="shared" si="44"/>
        <v>0.4900875529483501</v>
      </c>
      <c r="AT163" s="27">
        <f t="shared" si="46"/>
        <v>38.200000000000003</v>
      </c>
      <c r="AU163" s="27" t="b">
        <f t="shared" si="45"/>
        <v>0</v>
      </c>
      <c r="AV163" s="11"/>
    </row>
    <row r="164" spans="1:48" s="30" customFormat="1">
      <c r="A164" s="25" t="s">
        <v>621</v>
      </c>
      <c r="B164" s="26" t="s">
        <v>638</v>
      </c>
      <c r="C164" s="26" t="s">
        <v>639</v>
      </c>
      <c r="D164" s="26" t="s">
        <v>594</v>
      </c>
      <c r="E164" s="25" t="s">
        <v>612</v>
      </c>
      <c r="F164" s="25">
        <v>604</v>
      </c>
      <c r="G164" s="25" t="s">
        <v>58</v>
      </c>
      <c r="H164" s="25" t="s">
        <v>59</v>
      </c>
      <c r="I164" s="50">
        <v>-5.1693199999999999</v>
      </c>
      <c r="J164" s="50">
        <v>-80.559489999999997</v>
      </c>
      <c r="K164" s="25" t="s">
        <v>62</v>
      </c>
      <c r="L164" s="16" t="s">
        <v>387</v>
      </c>
      <c r="M164" s="25" t="s">
        <v>60</v>
      </c>
      <c r="N164" s="26" t="s">
        <v>61</v>
      </c>
      <c r="O164" s="25">
        <v>11877.083979999999</v>
      </c>
      <c r="P164" s="25">
        <v>34049588</v>
      </c>
      <c r="Q164" s="27">
        <v>0.269803236</v>
      </c>
      <c r="R164" s="25" t="s">
        <v>64</v>
      </c>
      <c r="S164" s="28" t="s">
        <v>65</v>
      </c>
      <c r="T164" s="39">
        <v>16.730567207151861</v>
      </c>
      <c r="U164" s="26" t="s">
        <v>66</v>
      </c>
      <c r="V164" s="26" t="s">
        <v>1160</v>
      </c>
      <c r="W164" s="26">
        <v>93689.37922013698</v>
      </c>
      <c r="X164" s="16" t="s">
        <v>79</v>
      </c>
      <c r="Y164" s="26">
        <v>70</v>
      </c>
      <c r="Z164" s="26" t="s">
        <v>387</v>
      </c>
      <c r="AA164" s="26">
        <v>280330.08717890398</v>
      </c>
      <c r="AB164" s="29" t="s">
        <v>68</v>
      </c>
      <c r="AC164" s="29" t="s">
        <v>1149</v>
      </c>
      <c r="AD164" s="39">
        <v>1</v>
      </c>
      <c r="AE164" s="26">
        <v>13</v>
      </c>
      <c r="AF164" s="29" t="s">
        <v>1151</v>
      </c>
      <c r="AG164" s="25">
        <v>104906.79803628313</v>
      </c>
      <c r="AH164" s="25" t="s">
        <v>640</v>
      </c>
      <c r="AI164" s="25" t="s">
        <v>69</v>
      </c>
      <c r="AJ164" s="25" t="s">
        <v>640</v>
      </c>
      <c r="AK164" s="17" t="s">
        <v>641</v>
      </c>
      <c r="AL164" s="27">
        <f t="shared" ref="AL164:AL195" si="47">LOG10(T164 + 1)</f>
        <v>1.2487226290581055</v>
      </c>
      <c r="AM164" s="27">
        <f t="shared" ref="AM164:AM195" si="48">LOG10(W164 + 1)</f>
        <v>4.9716949967989335</v>
      </c>
      <c r="AN164" s="27">
        <f t="shared" ref="AN164:AN195" si="49">LOG10(Y164+ 1)</f>
        <v>1.8512583487190752</v>
      </c>
      <c r="AO164" s="27">
        <f t="shared" ref="AO164:AO195" si="50">LOG10(AA164+ 1)</f>
        <v>5.4476712613051861</v>
      </c>
      <c r="AP164" s="27">
        <f t="shared" ref="AP164:AP195" si="51">IF(ISBLANK(T164),$AP$2, MIN(1, MAX(0, (AL164 - $AL$1) / ($AL$2 - $AL$1))))</f>
        <v>0.46471993824422064</v>
      </c>
      <c r="AQ164" s="27">
        <f t="shared" ref="AQ164:AQ195" si="52">IF(ISBLANK(W164), $AQ$2, MIN(1, MAX(0, (AM164 - $AM$1) / ($AM$2 - $AM$1))))</f>
        <v>0.51762310860214333</v>
      </c>
      <c r="AR164" s="27">
        <f t="shared" ref="AR164:AR195" si="53">IF(ISBLANK(Y164), $AR$2, MIN(1, MAX(0, (AN164 - $AN$1) / ($AN$2 - $AN$1))))</f>
        <v>0.45093702847857353</v>
      </c>
      <c r="AS164" s="27">
        <f t="shared" ref="AS164:AS195" si="54">IF(ISBLANK(AA164), $AS$2, MIN(1, MAX(0, (AO164 - $AO$1) / ($AO$2 - $AO$1))))</f>
        <v>0.60766604655889822</v>
      </c>
      <c r="AT164" s="27">
        <f t="shared" si="46"/>
        <v>51</v>
      </c>
      <c r="AU164" s="27" t="b">
        <f t="shared" si="45"/>
        <v>0</v>
      </c>
      <c r="AV164" s="11"/>
    </row>
    <row r="165" spans="1:48" s="30" customFormat="1">
      <c r="A165" s="25" t="s">
        <v>626</v>
      </c>
      <c r="B165" s="26" t="s">
        <v>610</v>
      </c>
      <c r="C165" s="26" t="s">
        <v>611</v>
      </c>
      <c r="D165" s="26" t="s">
        <v>594</v>
      </c>
      <c r="E165" s="25" t="s">
        <v>612</v>
      </c>
      <c r="F165" s="25">
        <v>604</v>
      </c>
      <c r="G165" s="25" t="s">
        <v>58</v>
      </c>
      <c r="H165" s="25" t="s">
        <v>59</v>
      </c>
      <c r="I165" s="50">
        <v>-6.90746912</v>
      </c>
      <c r="J165" s="50">
        <v>-79.768766249999999</v>
      </c>
      <c r="K165" s="25" t="s">
        <v>62</v>
      </c>
      <c r="L165" s="16" t="s">
        <v>101</v>
      </c>
      <c r="M165" s="25" t="s">
        <v>60</v>
      </c>
      <c r="N165" s="26" t="s">
        <v>61</v>
      </c>
      <c r="O165" s="25">
        <v>11877.083979999999</v>
      </c>
      <c r="P165" s="25">
        <v>34049588</v>
      </c>
      <c r="Q165" s="27">
        <v>0.269803236</v>
      </c>
      <c r="R165" s="25" t="s">
        <v>64</v>
      </c>
      <c r="S165" s="28">
        <v>1978</v>
      </c>
      <c r="T165" s="39">
        <v>16.318414441530102</v>
      </c>
      <c r="U165" s="26" t="s">
        <v>520</v>
      </c>
      <c r="V165" s="26" t="s">
        <v>1160</v>
      </c>
      <c r="W165" s="26">
        <v>651327</v>
      </c>
      <c r="X165" s="16" t="s">
        <v>101</v>
      </c>
      <c r="Y165" s="26">
        <v>100</v>
      </c>
      <c r="Z165" s="26" t="s">
        <v>101</v>
      </c>
      <c r="AA165" s="26">
        <v>22966.218832582501</v>
      </c>
      <c r="AB165" s="29" t="s">
        <v>68</v>
      </c>
      <c r="AC165" s="29" t="s">
        <v>1149</v>
      </c>
      <c r="AD165" s="39">
        <v>1</v>
      </c>
      <c r="AE165" s="26">
        <v>2</v>
      </c>
      <c r="AF165" s="29" t="s">
        <v>1151</v>
      </c>
      <c r="AG165" s="25">
        <v>729310.3083117886</v>
      </c>
      <c r="AH165" s="25" t="s">
        <v>613</v>
      </c>
      <c r="AI165" s="25" t="s">
        <v>69</v>
      </c>
      <c r="AJ165" s="25" t="s">
        <v>613</v>
      </c>
      <c r="AK165" s="17" t="s">
        <v>614</v>
      </c>
      <c r="AL165" s="27">
        <f t="shared" si="47"/>
        <v>1.2385081283963955</v>
      </c>
      <c r="AM165" s="27">
        <f t="shared" si="48"/>
        <v>5.8137997485012907</v>
      </c>
      <c r="AN165" s="27">
        <f t="shared" si="49"/>
        <v>2.0043213737826426</v>
      </c>
      <c r="AO165" s="27">
        <f t="shared" si="50"/>
        <v>4.3611084083952658</v>
      </c>
      <c r="AP165" s="27">
        <f t="shared" si="51"/>
        <v>0.46084939774883121</v>
      </c>
      <c r="AQ165" s="27">
        <f t="shared" si="52"/>
        <v>0.78531602074968598</v>
      </c>
      <c r="AR165" s="27">
        <f t="shared" si="53"/>
        <v>0.49004807788509086</v>
      </c>
      <c r="AS165" s="27">
        <f t="shared" si="54"/>
        <v>0.33334814002555807</v>
      </c>
      <c r="AT165" s="27">
        <f t="shared" si="46"/>
        <v>51.7</v>
      </c>
      <c r="AU165" s="27" t="b">
        <f t="shared" si="45"/>
        <v>0</v>
      </c>
      <c r="AV165" s="11"/>
    </row>
    <row r="166" spans="1:48" s="30" customFormat="1">
      <c r="A166" s="25" t="s">
        <v>631</v>
      </c>
      <c r="B166" s="26" t="s">
        <v>616</v>
      </c>
      <c r="C166" s="26" t="s">
        <v>617</v>
      </c>
      <c r="D166" s="26" t="s">
        <v>594</v>
      </c>
      <c r="E166" s="25" t="s">
        <v>612</v>
      </c>
      <c r="F166" s="25">
        <v>604</v>
      </c>
      <c r="G166" s="25" t="s">
        <v>58</v>
      </c>
      <c r="H166" s="25" t="s">
        <v>59</v>
      </c>
      <c r="I166" s="50">
        <v>-8.0274607000000007</v>
      </c>
      <c r="J166" s="50">
        <v>-79.0462366</v>
      </c>
      <c r="K166" s="25" t="s">
        <v>62</v>
      </c>
      <c r="L166" s="16" t="s">
        <v>101</v>
      </c>
      <c r="M166" s="25" t="s">
        <v>60</v>
      </c>
      <c r="N166" s="26" t="s">
        <v>61</v>
      </c>
      <c r="O166" s="25">
        <v>11877.083979999999</v>
      </c>
      <c r="P166" s="25">
        <v>34049588</v>
      </c>
      <c r="Q166" s="27">
        <v>0.269803236</v>
      </c>
      <c r="R166" s="25" t="s">
        <v>64</v>
      </c>
      <c r="S166" s="28">
        <v>1989</v>
      </c>
      <c r="T166" s="39">
        <v>50.582438536479231</v>
      </c>
      <c r="U166" s="26" t="s">
        <v>520</v>
      </c>
      <c r="V166" s="26" t="s">
        <v>1160</v>
      </c>
      <c r="W166" s="26">
        <v>365000</v>
      </c>
      <c r="X166" s="16" t="s">
        <v>618</v>
      </c>
      <c r="Y166" s="26">
        <v>1000</v>
      </c>
      <c r="Z166" s="26" t="s">
        <v>101</v>
      </c>
      <c r="AA166" s="26">
        <v>732249.90813197906</v>
      </c>
      <c r="AB166" s="29" t="s">
        <v>68</v>
      </c>
      <c r="AC166" s="29" t="s">
        <v>1149</v>
      </c>
      <c r="AD166" s="39">
        <v>0.89534883720930203</v>
      </c>
      <c r="AE166" s="26">
        <v>172</v>
      </c>
      <c r="AF166" s="29" t="s">
        <v>1152</v>
      </c>
      <c r="AG166" s="25">
        <v>408701.40886805352</v>
      </c>
      <c r="AH166" s="25" t="s">
        <v>619</v>
      </c>
      <c r="AI166" s="25" t="s">
        <v>69</v>
      </c>
      <c r="AJ166" s="25" t="s">
        <v>619</v>
      </c>
      <c r="AK166" s="17" t="s">
        <v>620</v>
      </c>
      <c r="AL166" s="27">
        <f t="shared" si="47"/>
        <v>1.7125018693626703</v>
      </c>
      <c r="AM166" s="27">
        <f t="shared" si="48"/>
        <v>5.5622940543027406</v>
      </c>
      <c r="AN166" s="27">
        <f t="shared" si="49"/>
        <v>3.0004340774793188</v>
      </c>
      <c r="AO166" s="27">
        <f t="shared" si="50"/>
        <v>5.8646599189626674</v>
      </c>
      <c r="AP166" s="27">
        <f t="shared" si="51"/>
        <v>0.6404579786996647</v>
      </c>
      <c r="AQ166" s="27">
        <f t="shared" si="52"/>
        <v>0.70536600079599765</v>
      </c>
      <c r="AR166" s="27">
        <f t="shared" si="53"/>
        <v>0.74457730303636771</v>
      </c>
      <c r="AS166" s="27">
        <f t="shared" si="54"/>
        <v>0.71294063358385251</v>
      </c>
      <c r="AT166" s="27">
        <f t="shared" si="46"/>
        <v>70.099999999999994</v>
      </c>
      <c r="AU166" s="27" t="b">
        <f t="shared" si="45"/>
        <v>0</v>
      </c>
      <c r="AV166" s="11"/>
    </row>
    <row r="167" spans="1:48" s="30" customFormat="1">
      <c r="A167" s="25" t="s">
        <v>637</v>
      </c>
      <c r="B167" s="26" t="s">
        <v>648</v>
      </c>
      <c r="C167" s="26" t="s">
        <v>649</v>
      </c>
      <c r="D167" s="26" t="s">
        <v>594</v>
      </c>
      <c r="E167" s="25" t="s">
        <v>612</v>
      </c>
      <c r="F167" s="25">
        <v>604</v>
      </c>
      <c r="G167" s="25" t="s">
        <v>58</v>
      </c>
      <c r="H167" s="25" t="s">
        <v>59</v>
      </c>
      <c r="I167" s="50">
        <v>-3.5979800000000002</v>
      </c>
      <c r="J167" s="50">
        <v>-80.419300000000007</v>
      </c>
      <c r="K167" s="25" t="s">
        <v>62</v>
      </c>
      <c r="L167" s="16" t="s">
        <v>387</v>
      </c>
      <c r="M167" s="25" t="s">
        <v>60</v>
      </c>
      <c r="N167" s="26" t="s">
        <v>61</v>
      </c>
      <c r="O167" s="25">
        <v>11877.083979999999</v>
      </c>
      <c r="P167" s="25">
        <v>34049588</v>
      </c>
      <c r="Q167" s="27">
        <v>0.269803236</v>
      </c>
      <c r="R167" s="25" t="s">
        <v>64</v>
      </c>
      <c r="S167" s="28" t="s">
        <v>65</v>
      </c>
      <c r="T167" s="39">
        <v>457.50773581030245</v>
      </c>
      <c r="U167" s="26" t="s">
        <v>66</v>
      </c>
      <c r="V167" s="26" t="s">
        <v>1160</v>
      </c>
      <c r="W167" s="26">
        <v>51830</v>
      </c>
      <c r="X167" s="16" t="s">
        <v>387</v>
      </c>
      <c r="Y167" s="26">
        <v>35</v>
      </c>
      <c r="Z167" s="26" t="s">
        <v>387</v>
      </c>
      <c r="AA167" s="26">
        <v>141401.003658061</v>
      </c>
      <c r="AB167" s="29" t="s">
        <v>68</v>
      </c>
      <c r="AC167" s="29" t="s">
        <v>1149</v>
      </c>
      <c r="AD167" s="39">
        <v>1</v>
      </c>
      <c r="AE167" s="26">
        <v>4</v>
      </c>
      <c r="AF167" s="29" t="s">
        <v>1151</v>
      </c>
      <c r="AG167" s="25">
        <v>58035.600059263568</v>
      </c>
      <c r="AH167" s="25" t="s">
        <v>650</v>
      </c>
      <c r="AI167" s="25" t="s">
        <v>69</v>
      </c>
      <c r="AJ167" s="25" t="s">
        <v>650</v>
      </c>
      <c r="AK167" s="17" t="s">
        <v>641</v>
      </c>
      <c r="AL167" s="27">
        <f t="shared" si="47"/>
        <v>2.6613466673591173</v>
      </c>
      <c r="AM167" s="27">
        <f t="shared" si="48"/>
        <v>4.7145895879692308</v>
      </c>
      <c r="AN167" s="27">
        <f t="shared" si="49"/>
        <v>1.5563025007672873</v>
      </c>
      <c r="AO167" s="27">
        <f t="shared" si="50"/>
        <v>5.1504555634317031</v>
      </c>
      <c r="AP167" s="27">
        <f t="shared" si="51"/>
        <v>1</v>
      </c>
      <c r="AQ167" s="27">
        <f t="shared" si="52"/>
        <v>0.43589302041611439</v>
      </c>
      <c r="AR167" s="27">
        <f t="shared" si="53"/>
        <v>0.37556916783951544</v>
      </c>
      <c r="AS167" s="27">
        <f t="shared" si="54"/>
        <v>0.53262980929830162</v>
      </c>
      <c r="AT167" s="27">
        <f t="shared" si="46"/>
        <v>58.6</v>
      </c>
      <c r="AU167" s="27" t="b">
        <f t="shared" si="45"/>
        <v>0</v>
      </c>
      <c r="AV167" s="11"/>
    </row>
    <row r="168" spans="1:48" s="30" customFormat="1">
      <c r="A168" s="25" t="s">
        <v>642</v>
      </c>
      <c r="B168" s="26" t="s">
        <v>662</v>
      </c>
      <c r="C168" s="26" t="s">
        <v>663</v>
      </c>
      <c r="D168" s="26" t="s">
        <v>645</v>
      </c>
      <c r="E168" s="25" t="s">
        <v>660</v>
      </c>
      <c r="F168" s="25">
        <v>608</v>
      </c>
      <c r="G168" s="25" t="s">
        <v>86</v>
      </c>
      <c r="H168" s="25" t="s">
        <v>315</v>
      </c>
      <c r="I168" s="50">
        <v>14.72388888888889</v>
      </c>
      <c r="J168" s="50">
        <v>120.96944444444441</v>
      </c>
      <c r="K168" s="25" t="s">
        <v>62</v>
      </c>
      <c r="L168" s="16" t="s">
        <v>73</v>
      </c>
      <c r="M168" s="25" t="s">
        <v>88</v>
      </c>
      <c r="N168" s="26" t="s">
        <v>61</v>
      </c>
      <c r="O168" s="25">
        <v>7705.0454099999997</v>
      </c>
      <c r="P168" s="25">
        <v>115559009</v>
      </c>
      <c r="Q168" s="27">
        <v>0.14161721999999999</v>
      </c>
      <c r="R168" s="25" t="s">
        <v>64</v>
      </c>
      <c r="S168" s="28" t="s">
        <v>65</v>
      </c>
      <c r="T168" s="39">
        <v>3.171241361994948</v>
      </c>
      <c r="U168" s="26" t="s">
        <v>66</v>
      </c>
      <c r="V168" s="26" t="s">
        <v>1160</v>
      </c>
      <c r="W168" s="26">
        <v>581851.08779311436</v>
      </c>
      <c r="X168" s="16" t="s">
        <v>67</v>
      </c>
      <c r="Y168" s="26">
        <v>58.185108779311442</v>
      </c>
      <c r="Z168" s="26" t="s">
        <v>67</v>
      </c>
      <c r="AA168" s="26">
        <v>4182347.7430200102</v>
      </c>
      <c r="AB168" s="29" t="s">
        <v>89</v>
      </c>
      <c r="AC168" s="29" t="s">
        <v>70</v>
      </c>
      <c r="AD168" s="39" t="s">
        <v>70</v>
      </c>
      <c r="AE168" s="29" t="s">
        <v>70</v>
      </c>
      <c r="AF168" s="29" t="s">
        <v>70</v>
      </c>
      <c r="AG168" s="25">
        <v>564647.24590354727</v>
      </c>
      <c r="AH168" s="25" t="s">
        <v>665</v>
      </c>
      <c r="AI168" s="25" t="s">
        <v>69</v>
      </c>
      <c r="AJ168" s="25" t="s">
        <v>665</v>
      </c>
      <c r="AK168" s="17" t="s">
        <v>666</v>
      </c>
      <c r="AL168" s="27">
        <f t="shared" si="47"/>
        <v>0.62026532030610648</v>
      </c>
      <c r="AM168" s="27">
        <f t="shared" si="48"/>
        <v>5.7648125969876141</v>
      </c>
      <c r="AN168" s="27">
        <f t="shared" si="49"/>
        <v>1.7722124501605929</v>
      </c>
      <c r="AO168" s="27">
        <f t="shared" si="50"/>
        <v>6.6214202434157583</v>
      </c>
      <c r="AP168" s="27">
        <f t="shared" si="51"/>
        <v>0.22658108606651312</v>
      </c>
      <c r="AQ168" s="27">
        <f t="shared" si="52"/>
        <v>0.76974371431156252</v>
      </c>
      <c r="AR168" s="27">
        <f t="shared" si="53"/>
        <v>0.43073902152934834</v>
      </c>
      <c r="AS168" s="27">
        <f t="shared" si="54"/>
        <v>0.90399530418621044</v>
      </c>
      <c r="AT168" s="27">
        <f t="shared" si="46"/>
        <v>58.3</v>
      </c>
      <c r="AU168" s="27" t="b">
        <f t="shared" si="45"/>
        <v>0</v>
      </c>
      <c r="AV168" s="11"/>
    </row>
    <row r="169" spans="1:48" s="30" customFormat="1">
      <c r="A169" s="25" t="s">
        <v>647</v>
      </c>
      <c r="B169" s="26" t="s">
        <v>952</v>
      </c>
      <c r="C169" s="26" t="s">
        <v>668</v>
      </c>
      <c r="D169" s="26" t="s">
        <v>645</v>
      </c>
      <c r="E169" s="25" t="s">
        <v>660</v>
      </c>
      <c r="F169" s="25">
        <v>608</v>
      </c>
      <c r="G169" s="25" t="s">
        <v>86</v>
      </c>
      <c r="H169" s="25" t="s">
        <v>315</v>
      </c>
      <c r="I169" s="50">
        <v>14.68638888888889</v>
      </c>
      <c r="J169" s="50">
        <v>120.9494444444445</v>
      </c>
      <c r="K169" s="25" t="s">
        <v>62</v>
      </c>
      <c r="L169" s="16" t="s">
        <v>73</v>
      </c>
      <c r="M169" s="25" t="s">
        <v>88</v>
      </c>
      <c r="N169" s="26" t="s">
        <v>61</v>
      </c>
      <c r="O169" s="25">
        <v>7705.0454099999997</v>
      </c>
      <c r="P169" s="25">
        <v>115559009</v>
      </c>
      <c r="Q169" s="27">
        <v>0.14161721999999999</v>
      </c>
      <c r="R169" s="25" t="s">
        <v>64</v>
      </c>
      <c r="S169" s="28" t="s">
        <v>65</v>
      </c>
      <c r="T169" s="39">
        <v>10.18256861157839</v>
      </c>
      <c r="U169" s="26" t="s">
        <v>66</v>
      </c>
      <c r="V169" s="26" t="s">
        <v>1160</v>
      </c>
      <c r="W169" s="26">
        <v>578871.36809953174</v>
      </c>
      <c r="X169" s="16" t="s">
        <v>67</v>
      </c>
      <c r="Y169" s="26">
        <v>57.887136809953176</v>
      </c>
      <c r="Z169" s="26" t="s">
        <v>67</v>
      </c>
      <c r="AA169" s="26">
        <v>4351065.5780205</v>
      </c>
      <c r="AB169" s="29" t="s">
        <v>89</v>
      </c>
      <c r="AC169" s="29" t="s">
        <v>70</v>
      </c>
      <c r="AD169" s="39" t="s">
        <v>70</v>
      </c>
      <c r="AE169" s="29" t="s">
        <v>70</v>
      </c>
      <c r="AF169" s="29" t="s">
        <v>70</v>
      </c>
      <c r="AG169" s="25">
        <v>561755.62886639871</v>
      </c>
      <c r="AH169" s="25" t="s">
        <v>65</v>
      </c>
      <c r="AI169" s="25" t="s">
        <v>69</v>
      </c>
      <c r="AJ169" s="25" t="s">
        <v>65</v>
      </c>
      <c r="AK169" s="17" t="s">
        <v>70</v>
      </c>
      <c r="AL169" s="27">
        <f t="shared" si="47"/>
        <v>1.0485415715027295</v>
      </c>
      <c r="AM169" s="27">
        <f t="shared" si="48"/>
        <v>5.7625828194436277</v>
      </c>
      <c r="AN169" s="27">
        <f t="shared" si="49"/>
        <v>1.7700204387165575</v>
      </c>
      <c r="AO169" s="27">
        <f t="shared" si="50"/>
        <v>6.6385957287180677</v>
      </c>
      <c r="AP169" s="27">
        <f t="shared" si="51"/>
        <v>0.38886611872444693</v>
      </c>
      <c r="AQ169" s="27">
        <f t="shared" si="52"/>
        <v>0.76903490030358512</v>
      </c>
      <c r="AR169" s="27">
        <f t="shared" si="53"/>
        <v>0.43017891324812418</v>
      </c>
      <c r="AS169" s="27">
        <f t="shared" si="54"/>
        <v>0.90833149436536642</v>
      </c>
      <c r="AT169" s="27">
        <f t="shared" si="46"/>
        <v>62.4</v>
      </c>
      <c r="AU169" s="27" t="b">
        <f t="shared" si="45"/>
        <v>0</v>
      </c>
      <c r="AV169" s="11"/>
    </row>
    <row r="170" spans="1:48" s="30" customFormat="1">
      <c r="A170" s="25" t="s">
        <v>651</v>
      </c>
      <c r="B170" s="26" t="s">
        <v>1140</v>
      </c>
      <c r="C170" s="26" t="s">
        <v>658</v>
      </c>
      <c r="D170" s="26" t="s">
        <v>645</v>
      </c>
      <c r="E170" s="25" t="s">
        <v>660</v>
      </c>
      <c r="F170" s="25">
        <v>608</v>
      </c>
      <c r="G170" s="25" t="s">
        <v>86</v>
      </c>
      <c r="H170" s="25" t="s">
        <v>315</v>
      </c>
      <c r="I170" s="50">
        <v>14.681111111111109</v>
      </c>
      <c r="J170" s="50">
        <v>120.9666666666667</v>
      </c>
      <c r="K170" s="25" t="s">
        <v>62</v>
      </c>
      <c r="L170" s="16" t="s">
        <v>73</v>
      </c>
      <c r="M170" s="25" t="s">
        <v>88</v>
      </c>
      <c r="N170" s="26" t="s">
        <v>61</v>
      </c>
      <c r="O170" s="25">
        <v>7705.0454099999997</v>
      </c>
      <c r="P170" s="25">
        <v>115559009</v>
      </c>
      <c r="Q170" s="27">
        <v>0.14161721999999999</v>
      </c>
      <c r="R170" s="25" t="s">
        <v>64</v>
      </c>
      <c r="S170" s="28" t="s">
        <v>65</v>
      </c>
      <c r="T170" s="39">
        <v>17.611508100000002</v>
      </c>
      <c r="U170" s="26" t="s">
        <v>66</v>
      </c>
      <c r="V170" s="26" t="s">
        <v>1160</v>
      </c>
      <c r="W170" s="26">
        <v>708000.44839690102</v>
      </c>
      <c r="X170" s="16" t="s">
        <v>67</v>
      </c>
      <c r="Y170" s="26">
        <v>70.800044839690102</v>
      </c>
      <c r="Z170" s="26" t="s">
        <v>67</v>
      </c>
      <c r="AA170" s="26">
        <v>5237955.6083648801</v>
      </c>
      <c r="AB170" s="29" t="s">
        <v>89</v>
      </c>
      <c r="AC170" s="29" t="s">
        <v>70</v>
      </c>
      <c r="AD170" s="39" t="s">
        <v>70</v>
      </c>
      <c r="AE170" s="29" t="s">
        <v>70</v>
      </c>
      <c r="AF170" s="29" t="s">
        <v>70</v>
      </c>
      <c r="AG170" s="25">
        <v>687066.69399221055</v>
      </c>
      <c r="AH170" s="25" t="s">
        <v>65</v>
      </c>
      <c r="AI170" s="25" t="s">
        <v>69</v>
      </c>
      <c r="AJ170" s="25" t="s">
        <v>65</v>
      </c>
      <c r="AK170" s="17" t="s">
        <v>70</v>
      </c>
      <c r="AL170" s="27">
        <f t="shared" si="47"/>
        <v>1.2697815656601379</v>
      </c>
      <c r="AM170" s="27">
        <f t="shared" si="48"/>
        <v>5.8500341461504162</v>
      </c>
      <c r="AN170" s="27">
        <f t="shared" si="49"/>
        <v>1.856124715462689</v>
      </c>
      <c r="AO170" s="27">
        <f t="shared" si="50"/>
        <v>6.7191618963752484</v>
      </c>
      <c r="AP170" s="27">
        <f t="shared" si="51"/>
        <v>0.47269971812847383</v>
      </c>
      <c r="AQ170" s="27">
        <f t="shared" si="52"/>
        <v>0.79683441131451538</v>
      </c>
      <c r="AR170" s="27">
        <f t="shared" si="53"/>
        <v>0.45218049475699484</v>
      </c>
      <c r="AS170" s="27">
        <f t="shared" si="54"/>
        <v>0.92867154408264141</v>
      </c>
      <c r="AT170" s="27">
        <f t="shared" si="46"/>
        <v>66.3</v>
      </c>
      <c r="AU170" s="27" t="b">
        <f t="shared" si="45"/>
        <v>0</v>
      </c>
      <c r="AV170" s="11"/>
    </row>
    <row r="171" spans="1:48" s="30" customFormat="1">
      <c r="A171" s="25" t="s">
        <v>657</v>
      </c>
      <c r="B171" s="26" t="s">
        <v>1133</v>
      </c>
      <c r="C171" s="26" t="s">
        <v>1132</v>
      </c>
      <c r="D171" s="26" t="s">
        <v>659</v>
      </c>
      <c r="E171" s="25" t="s">
        <v>671</v>
      </c>
      <c r="F171" s="25">
        <v>620</v>
      </c>
      <c r="G171" s="25" t="s">
        <v>203</v>
      </c>
      <c r="H171" s="25" t="s">
        <v>204</v>
      </c>
      <c r="I171" s="50">
        <v>38.741388888888892</v>
      </c>
      <c r="J171" s="50">
        <v>-9.3294444444444444</v>
      </c>
      <c r="K171" s="25" t="s">
        <v>62</v>
      </c>
      <c r="L171" s="16" t="s">
        <v>73</v>
      </c>
      <c r="M171" s="25" t="s">
        <v>205</v>
      </c>
      <c r="N171" s="26" t="s">
        <v>206</v>
      </c>
      <c r="O171" s="25">
        <v>34961.945310000003</v>
      </c>
      <c r="P171" s="25">
        <v>10409704</v>
      </c>
      <c r="Q171" s="27">
        <v>0.51300000800000001</v>
      </c>
      <c r="R171" s="25" t="s">
        <v>64</v>
      </c>
      <c r="S171" s="28" t="s">
        <v>65</v>
      </c>
      <c r="T171" s="39">
        <v>4.2892509012517523</v>
      </c>
      <c r="U171" s="26" t="s">
        <v>66</v>
      </c>
      <c r="V171" s="26" t="s">
        <v>1159</v>
      </c>
      <c r="W171" s="26">
        <v>436163.54383679759</v>
      </c>
      <c r="X171" s="16" t="s">
        <v>67</v>
      </c>
      <c r="Y171" s="26">
        <v>43.2</v>
      </c>
      <c r="Z171" s="26" t="s">
        <v>67</v>
      </c>
      <c r="AA171" s="26">
        <v>852615.32485668</v>
      </c>
      <c r="AB171" s="29" t="s">
        <v>89</v>
      </c>
      <c r="AC171" s="29" t="s">
        <v>70</v>
      </c>
      <c r="AD171" s="39" t="s">
        <v>70</v>
      </c>
      <c r="AE171" s="29" t="s">
        <v>70</v>
      </c>
      <c r="AF171" s="29" t="s">
        <v>70</v>
      </c>
      <c r="AG171" s="25">
        <v>476105.04386080662</v>
      </c>
      <c r="AH171" s="25" t="s">
        <v>65</v>
      </c>
      <c r="AI171" s="25" t="s">
        <v>69</v>
      </c>
      <c r="AJ171" s="25" t="s">
        <v>65</v>
      </c>
      <c r="AK171" s="17" t="s">
        <v>70</v>
      </c>
      <c r="AL171" s="27">
        <f t="shared" si="47"/>
        <v>0.72339416872907358</v>
      </c>
      <c r="AM171" s="27">
        <f t="shared" si="48"/>
        <v>5.6396503585331761</v>
      </c>
      <c r="AN171" s="27">
        <f t="shared" si="49"/>
        <v>1.6454222693490919</v>
      </c>
      <c r="AO171" s="27">
        <f t="shared" si="50"/>
        <v>5.9307536437313573</v>
      </c>
      <c r="AP171" s="27">
        <f t="shared" si="51"/>
        <v>0.26565929432002811</v>
      </c>
      <c r="AQ171" s="27">
        <f t="shared" si="52"/>
        <v>0.72995645027458667</v>
      </c>
      <c r="AR171" s="27">
        <f t="shared" si="53"/>
        <v>0.39834127541188824</v>
      </c>
      <c r="AS171" s="27">
        <f t="shared" si="54"/>
        <v>0.72962691377922451</v>
      </c>
      <c r="AT171" s="27">
        <f t="shared" si="46"/>
        <v>53.1</v>
      </c>
      <c r="AU171" s="27" t="b">
        <f t="shared" si="45"/>
        <v>0</v>
      </c>
      <c r="AV171" s="11"/>
    </row>
    <row r="172" spans="1:48" s="30" customFormat="1">
      <c r="A172" s="25" t="s">
        <v>669</v>
      </c>
      <c r="B172" s="26" t="s">
        <v>675</v>
      </c>
      <c r="C172" s="26" t="s">
        <v>676</v>
      </c>
      <c r="D172" s="26" t="s">
        <v>670</v>
      </c>
      <c r="E172" s="25" t="s">
        <v>677</v>
      </c>
      <c r="F172" s="25">
        <v>642</v>
      </c>
      <c r="G172" s="25" t="s">
        <v>203</v>
      </c>
      <c r="H172" s="25" t="s">
        <v>678</v>
      </c>
      <c r="I172" s="50">
        <v>45.366776340000001</v>
      </c>
      <c r="J172" s="50">
        <v>27.06631655</v>
      </c>
      <c r="K172" s="25" t="s">
        <v>62</v>
      </c>
      <c r="L172" s="16" t="s">
        <v>679</v>
      </c>
      <c r="M172" s="25" t="s">
        <v>205</v>
      </c>
      <c r="N172" s="26" t="s">
        <v>206</v>
      </c>
      <c r="O172" s="25">
        <v>29983.556639999999</v>
      </c>
      <c r="P172" s="25">
        <v>19047009</v>
      </c>
      <c r="Q172" s="27">
        <v>0.28000000899999999</v>
      </c>
      <c r="R172" s="25" t="s">
        <v>64</v>
      </c>
      <c r="S172" s="28" t="s">
        <v>65</v>
      </c>
      <c r="T172" s="39">
        <v>3.4597453067859627</v>
      </c>
      <c r="U172" s="26" t="s">
        <v>66</v>
      </c>
      <c r="V172" s="26" t="s">
        <v>1159</v>
      </c>
      <c r="W172" s="26">
        <v>16121.401700987451</v>
      </c>
      <c r="X172" s="16" t="s">
        <v>79</v>
      </c>
      <c r="Y172" s="26">
        <v>1.6121401700987452</v>
      </c>
      <c r="Z172" s="26" t="s">
        <v>67</v>
      </c>
      <c r="AA172" s="26">
        <v>57690.781004021599</v>
      </c>
      <c r="AB172" s="29" t="s">
        <v>89</v>
      </c>
      <c r="AC172" s="29" t="s">
        <v>70</v>
      </c>
      <c r="AD172" s="39" t="s">
        <v>70</v>
      </c>
      <c r="AE172" s="29" t="s">
        <v>70</v>
      </c>
      <c r="AF172" s="29" t="s">
        <v>70</v>
      </c>
      <c r="AG172" s="25">
        <v>15397.998470651683</v>
      </c>
      <c r="AH172" s="25" t="s">
        <v>65</v>
      </c>
      <c r="AI172" s="25" t="s">
        <v>69</v>
      </c>
      <c r="AJ172" s="25" t="s">
        <v>65</v>
      </c>
      <c r="AK172" s="17" t="s">
        <v>70</v>
      </c>
      <c r="AL172" s="27">
        <f t="shared" si="47"/>
        <v>0.64931005713907886</v>
      </c>
      <c r="AM172" s="27">
        <f t="shared" si="48"/>
        <v>4.2074297377043477</v>
      </c>
      <c r="AN172" s="27">
        <f t="shared" si="49"/>
        <v>0.41699647791202316</v>
      </c>
      <c r="AO172" s="27">
        <f t="shared" si="50"/>
        <v>4.7611139462779493</v>
      </c>
      <c r="AP172" s="27">
        <f t="shared" si="51"/>
        <v>0.23758689377196074</v>
      </c>
      <c r="AQ172" s="27">
        <f t="shared" si="52"/>
        <v>0.27467424452479416</v>
      </c>
      <c r="AR172" s="27">
        <f t="shared" si="53"/>
        <v>8.4450825375491909E-2</v>
      </c>
      <c r="AS172" s="27">
        <f t="shared" si="54"/>
        <v>0.43433510222462129</v>
      </c>
      <c r="AT172" s="27">
        <f t="shared" si="46"/>
        <v>25.8</v>
      </c>
      <c r="AU172" s="27" t="b">
        <f t="shared" si="45"/>
        <v>0</v>
      </c>
      <c r="AV172" s="11"/>
    </row>
    <row r="173" spans="1:48" s="30" customFormat="1">
      <c r="A173" s="25" t="s">
        <v>672</v>
      </c>
      <c r="B173" s="26" t="s">
        <v>707</v>
      </c>
      <c r="C173" s="26" t="s">
        <v>708</v>
      </c>
      <c r="D173" s="26" t="s">
        <v>673</v>
      </c>
      <c r="E173" s="25" t="s">
        <v>683</v>
      </c>
      <c r="F173" s="25">
        <v>643</v>
      </c>
      <c r="G173" s="25" t="s">
        <v>203</v>
      </c>
      <c r="H173" s="25" t="s">
        <v>678</v>
      </c>
      <c r="I173" s="50">
        <v>46.536110000000001</v>
      </c>
      <c r="J173" s="50">
        <v>47.890560000000001</v>
      </c>
      <c r="K173" s="25" t="s">
        <v>62</v>
      </c>
      <c r="L173" s="16" t="s">
        <v>94</v>
      </c>
      <c r="M173" s="25" t="s">
        <v>60</v>
      </c>
      <c r="N173" s="26" t="s">
        <v>445</v>
      </c>
      <c r="O173" s="25">
        <v>26012.849610000001</v>
      </c>
      <c r="P173" s="25">
        <v>144236933</v>
      </c>
      <c r="Q173" s="27">
        <v>0.41898949800000002</v>
      </c>
      <c r="R173" s="25" t="s">
        <v>64</v>
      </c>
      <c r="S173" s="28">
        <v>2012</v>
      </c>
      <c r="T173" s="39">
        <v>20.686449613868259</v>
      </c>
      <c r="U173" s="26" t="s">
        <v>66</v>
      </c>
      <c r="V173" s="26" t="s">
        <v>1159</v>
      </c>
      <c r="W173" s="26">
        <v>540000</v>
      </c>
      <c r="X173" s="16" t="s">
        <v>94</v>
      </c>
      <c r="Y173" s="26">
        <v>52.973156632537027</v>
      </c>
      <c r="Z173" s="26" t="s">
        <v>67</v>
      </c>
      <c r="AA173" s="26">
        <v>5343.2061744264702</v>
      </c>
      <c r="AB173" s="29" t="s">
        <v>89</v>
      </c>
      <c r="AC173" s="29" t="s">
        <v>70</v>
      </c>
      <c r="AD173" s="39" t="s">
        <v>70</v>
      </c>
      <c r="AE173" s="29" t="s">
        <v>70</v>
      </c>
      <c r="AF173" s="29" t="s">
        <v>70</v>
      </c>
      <c r="AG173" s="25">
        <v>541122.8078102686</v>
      </c>
      <c r="AH173" s="25" t="s">
        <v>709</v>
      </c>
      <c r="AI173" s="25" t="s">
        <v>69</v>
      </c>
      <c r="AJ173" s="25" t="s">
        <v>65</v>
      </c>
      <c r="AK173" s="17" t="s">
        <v>94</v>
      </c>
      <c r="AL173" s="27">
        <f t="shared" si="47"/>
        <v>1.3361884575321501</v>
      </c>
      <c r="AM173" s="27">
        <f t="shared" si="48"/>
        <v>5.7323945640712646</v>
      </c>
      <c r="AN173" s="27">
        <f t="shared" si="49"/>
        <v>1.7321778186211245</v>
      </c>
      <c r="AO173" s="27">
        <f t="shared" si="50"/>
        <v>3.7278832044615968</v>
      </c>
      <c r="AP173" s="27">
        <f t="shared" si="51"/>
        <v>0.49786302005345895</v>
      </c>
      <c r="AQ173" s="27">
        <f t="shared" si="52"/>
        <v>0.75943849085815085</v>
      </c>
      <c r="AR173" s="27">
        <f t="shared" si="53"/>
        <v>0.42050927171575625</v>
      </c>
      <c r="AS173" s="27">
        <f t="shared" si="54"/>
        <v>0.17348162899765693</v>
      </c>
      <c r="AT173" s="27">
        <f t="shared" si="46"/>
        <v>46.3</v>
      </c>
      <c r="AU173" s="27" t="b">
        <f t="shared" si="45"/>
        <v>0</v>
      </c>
      <c r="AV173" s="11"/>
    </row>
    <row r="174" spans="1:48" s="30" customFormat="1">
      <c r="A174" s="25" t="s">
        <v>674</v>
      </c>
      <c r="B174" s="26" t="s">
        <v>711</v>
      </c>
      <c r="C174" s="26" t="s">
        <v>712</v>
      </c>
      <c r="D174" s="26" t="s">
        <v>673</v>
      </c>
      <c r="E174" s="25" t="s">
        <v>683</v>
      </c>
      <c r="F174" s="25">
        <v>643</v>
      </c>
      <c r="G174" s="25" t="s">
        <v>203</v>
      </c>
      <c r="H174" s="25" t="s">
        <v>678</v>
      </c>
      <c r="I174" s="50">
        <v>53.823030000000003</v>
      </c>
      <c r="J174" s="50">
        <v>87.233230000000006</v>
      </c>
      <c r="K174" s="25" t="s">
        <v>62</v>
      </c>
      <c r="L174" s="16" t="s">
        <v>94</v>
      </c>
      <c r="M174" s="25" t="s">
        <v>60</v>
      </c>
      <c r="N174" s="26" t="s">
        <v>445</v>
      </c>
      <c r="O174" s="25">
        <v>26012.849610000001</v>
      </c>
      <c r="P174" s="25">
        <v>144236933</v>
      </c>
      <c r="Q174" s="27">
        <v>0.41898949800000002</v>
      </c>
      <c r="R174" s="25" t="s">
        <v>64</v>
      </c>
      <c r="S174" s="28">
        <v>2008</v>
      </c>
      <c r="T174" s="39">
        <v>14.287332887169809</v>
      </c>
      <c r="U174" s="26" t="s">
        <v>66</v>
      </c>
      <c r="V174" s="26" t="s">
        <v>1159</v>
      </c>
      <c r="W174" s="26">
        <v>450000</v>
      </c>
      <c r="X174" s="16" t="s">
        <v>94</v>
      </c>
      <c r="Y174" s="26">
        <v>45</v>
      </c>
      <c r="Z174" s="26" t="s">
        <v>67</v>
      </c>
      <c r="AA174" s="26">
        <v>311526.190231152</v>
      </c>
      <c r="AB174" s="29" t="s">
        <v>89</v>
      </c>
      <c r="AC174" s="29" t="s">
        <v>70</v>
      </c>
      <c r="AD174" s="39" t="s">
        <v>70</v>
      </c>
      <c r="AE174" s="29" t="s">
        <v>70</v>
      </c>
      <c r="AF174" s="29" t="s">
        <v>70</v>
      </c>
      <c r="AG174" s="25">
        <v>450935.67317522364</v>
      </c>
      <c r="AH174" s="25" t="s">
        <v>713</v>
      </c>
      <c r="AI174" s="25" t="s">
        <v>69</v>
      </c>
      <c r="AJ174" s="25" t="s">
        <v>65</v>
      </c>
      <c r="AK174" s="17" t="s">
        <v>94</v>
      </c>
      <c r="AL174" s="27">
        <f t="shared" si="47"/>
        <v>1.1843317225986061</v>
      </c>
      <c r="AM174" s="27">
        <f t="shared" si="48"/>
        <v>5.6532134788731199</v>
      </c>
      <c r="AN174" s="27">
        <f t="shared" si="49"/>
        <v>1.6627578316815741</v>
      </c>
      <c r="AO174" s="27">
        <f t="shared" si="50"/>
        <v>5.4934959580642335</v>
      </c>
      <c r="AP174" s="27">
        <f t="shared" si="51"/>
        <v>0.44032054572955992</v>
      </c>
      <c r="AQ174" s="27">
        <f t="shared" si="52"/>
        <v>0.73426796992136145</v>
      </c>
      <c r="AR174" s="27">
        <f t="shared" si="53"/>
        <v>0.4027709019307284</v>
      </c>
      <c r="AS174" s="27">
        <f t="shared" si="54"/>
        <v>0.61923512868682296</v>
      </c>
      <c r="AT174" s="27">
        <f t="shared" si="46"/>
        <v>54.9</v>
      </c>
      <c r="AU174" s="27" t="b">
        <f t="shared" si="45"/>
        <v>0</v>
      </c>
      <c r="AV174" s="11"/>
    </row>
    <row r="175" spans="1:48" s="30" customFormat="1">
      <c r="A175" s="25" t="s">
        <v>680</v>
      </c>
      <c r="B175" s="26" t="s">
        <v>698</v>
      </c>
      <c r="C175" s="26" t="s">
        <v>699</v>
      </c>
      <c r="D175" s="26" t="s">
        <v>673</v>
      </c>
      <c r="E175" s="25" t="s">
        <v>683</v>
      </c>
      <c r="F175" s="25">
        <v>643</v>
      </c>
      <c r="G175" s="25" t="s">
        <v>203</v>
      </c>
      <c r="H175" s="25" t="s">
        <v>678</v>
      </c>
      <c r="I175" s="50">
        <v>45.174669999999999</v>
      </c>
      <c r="J175" s="50">
        <v>38.761479999999999</v>
      </c>
      <c r="K175" s="25" t="s">
        <v>62</v>
      </c>
      <c r="L175" s="16" t="s">
        <v>94</v>
      </c>
      <c r="M175" s="25" t="s">
        <v>60</v>
      </c>
      <c r="N175" s="26" t="s">
        <v>445</v>
      </c>
      <c r="O175" s="25">
        <v>26012.849610000001</v>
      </c>
      <c r="P175" s="25">
        <v>144236933</v>
      </c>
      <c r="Q175" s="27">
        <v>0.41898949800000002</v>
      </c>
      <c r="R175" s="25" t="s">
        <v>64</v>
      </c>
      <c r="S175" s="28" t="s">
        <v>65</v>
      </c>
      <c r="T175" s="39">
        <v>22.811258382558172</v>
      </c>
      <c r="U175" s="26" t="s">
        <v>66</v>
      </c>
      <c r="V175" s="26" t="s">
        <v>1159</v>
      </c>
      <c r="W175" s="26">
        <v>600000</v>
      </c>
      <c r="X175" s="16" t="s">
        <v>94</v>
      </c>
      <c r="Y175" s="26">
        <v>60</v>
      </c>
      <c r="Z175" s="26" t="s">
        <v>67</v>
      </c>
      <c r="AA175" s="26">
        <v>6258.5815949981197</v>
      </c>
      <c r="AB175" s="29" t="s">
        <v>68</v>
      </c>
      <c r="AC175" s="29" t="s">
        <v>1149</v>
      </c>
      <c r="AD175" s="39">
        <v>1</v>
      </c>
      <c r="AE175" s="26">
        <v>4</v>
      </c>
      <c r="AF175" s="29" t="s">
        <v>1151</v>
      </c>
      <c r="AG175" s="25">
        <v>601247.56423363148</v>
      </c>
      <c r="AH175" s="25" t="s">
        <v>700</v>
      </c>
      <c r="AI175" s="25" t="s">
        <v>69</v>
      </c>
      <c r="AJ175" s="25" t="s">
        <v>65</v>
      </c>
      <c r="AK175" s="17" t="s">
        <v>94</v>
      </c>
      <c r="AL175" s="27">
        <f t="shared" si="47"/>
        <v>1.376782347700549</v>
      </c>
      <c r="AM175" s="27">
        <f t="shared" si="48"/>
        <v>5.7781519742071765</v>
      </c>
      <c r="AN175" s="27">
        <f t="shared" si="49"/>
        <v>1.7853298350107671</v>
      </c>
      <c r="AO175" s="27">
        <f t="shared" si="50"/>
        <v>3.796545304926664</v>
      </c>
      <c r="AP175" s="27">
        <f t="shared" si="51"/>
        <v>0.51324510293404035</v>
      </c>
      <c r="AQ175" s="27">
        <f t="shared" si="52"/>
        <v>0.77398410925877137</v>
      </c>
      <c r="AR175" s="27">
        <f t="shared" si="53"/>
        <v>0.43409080872123484</v>
      </c>
      <c r="AS175" s="27">
        <f t="shared" si="54"/>
        <v>0.19081633136422183</v>
      </c>
      <c r="AT175" s="27">
        <f t="shared" si="46"/>
        <v>47.8</v>
      </c>
      <c r="AU175" s="27" t="b">
        <f t="shared" si="45"/>
        <v>0</v>
      </c>
      <c r="AV175" s="11"/>
    </row>
    <row r="176" spans="1:48" s="30" customFormat="1">
      <c r="A176" s="25" t="s">
        <v>685</v>
      </c>
      <c r="B176" s="26" t="s">
        <v>731</v>
      </c>
      <c r="C176" s="26" t="s">
        <v>732</v>
      </c>
      <c r="D176" s="26" t="s">
        <v>673</v>
      </c>
      <c r="E176" s="25" t="s">
        <v>683</v>
      </c>
      <c r="F176" s="25">
        <v>643</v>
      </c>
      <c r="G176" s="25" t="s">
        <v>203</v>
      </c>
      <c r="H176" s="25" t="s">
        <v>678</v>
      </c>
      <c r="I176" s="50">
        <v>56.206906869999997</v>
      </c>
      <c r="J176" s="50">
        <v>37.415270810000003</v>
      </c>
      <c r="K176" s="25" t="s">
        <v>62</v>
      </c>
      <c r="L176" s="16" t="s">
        <v>733</v>
      </c>
      <c r="M176" s="25" t="s">
        <v>60</v>
      </c>
      <c r="N176" s="26" t="s">
        <v>445</v>
      </c>
      <c r="O176" s="25">
        <v>26012.849610000001</v>
      </c>
      <c r="P176" s="25">
        <v>144236933</v>
      </c>
      <c r="Q176" s="27">
        <v>0.41898949800000002</v>
      </c>
      <c r="R176" s="25" t="s">
        <v>64</v>
      </c>
      <c r="S176" s="28" t="s">
        <v>65</v>
      </c>
      <c r="T176" s="39">
        <v>58.660610182189473</v>
      </c>
      <c r="U176" s="26" t="s">
        <v>837</v>
      </c>
      <c r="V176" s="26" t="s">
        <v>1159</v>
      </c>
      <c r="W176" s="26">
        <v>14728.022424993425</v>
      </c>
      <c r="X176" s="16" t="s">
        <v>79</v>
      </c>
      <c r="Y176" s="26">
        <v>1.4728022424993426</v>
      </c>
      <c r="Z176" s="26" t="s">
        <v>67</v>
      </c>
      <c r="AA176" s="26">
        <v>33022.901993333799</v>
      </c>
      <c r="AB176" s="29" t="s">
        <v>89</v>
      </c>
      <c r="AC176" s="29" t="s">
        <v>70</v>
      </c>
      <c r="AD176" s="39" t="s">
        <v>70</v>
      </c>
      <c r="AE176" s="29" t="s">
        <v>70</v>
      </c>
      <c r="AF176" s="29" t="s">
        <v>70</v>
      </c>
      <c r="AG176" s="25">
        <v>14758.64601500933</v>
      </c>
      <c r="AH176" s="25" t="s">
        <v>65</v>
      </c>
      <c r="AI176" s="25" t="s">
        <v>69</v>
      </c>
      <c r="AJ176" s="25" t="s">
        <v>65</v>
      </c>
      <c r="AK176" s="17" t="s">
        <v>734</v>
      </c>
      <c r="AL176" s="27">
        <f t="shared" si="47"/>
        <v>1.7756876908195856</v>
      </c>
      <c r="AM176" s="27">
        <f t="shared" si="48"/>
        <v>4.1681739233857602</v>
      </c>
      <c r="AN176" s="27">
        <f t="shared" si="49"/>
        <v>0.39318938590216235</v>
      </c>
      <c r="AO176" s="27">
        <f t="shared" si="50"/>
        <v>4.5188283867358114</v>
      </c>
      <c r="AP176" s="27">
        <f t="shared" si="51"/>
        <v>0.66440073310176706</v>
      </c>
      <c r="AQ176" s="27">
        <f t="shared" si="52"/>
        <v>0.26219538933199016</v>
      </c>
      <c r="AR176" s="27">
        <f t="shared" si="53"/>
        <v>7.8367577305381741E-2</v>
      </c>
      <c r="AS176" s="27">
        <f t="shared" si="54"/>
        <v>0.37316674247546999</v>
      </c>
      <c r="AT176" s="27">
        <f t="shared" si="46"/>
        <v>34.5</v>
      </c>
      <c r="AU176" s="27" t="b">
        <f t="shared" si="45"/>
        <v>0</v>
      </c>
      <c r="AV176" s="11"/>
    </row>
    <row r="177" spans="1:48" s="30" customFormat="1">
      <c r="A177" s="25" t="s">
        <v>689</v>
      </c>
      <c r="B177" s="26" t="s">
        <v>690</v>
      </c>
      <c r="C177" s="26" t="s">
        <v>691</v>
      </c>
      <c r="D177" s="26" t="s">
        <v>673</v>
      </c>
      <c r="E177" s="25" t="s">
        <v>683</v>
      </c>
      <c r="F177" s="25">
        <v>643</v>
      </c>
      <c r="G177" s="25" t="s">
        <v>203</v>
      </c>
      <c r="H177" s="25" t="s">
        <v>678</v>
      </c>
      <c r="I177" s="50">
        <v>55.755000000000003</v>
      </c>
      <c r="J177" s="50">
        <v>38.292819999999999</v>
      </c>
      <c r="K177" s="25" t="s">
        <v>62</v>
      </c>
      <c r="L177" s="16" t="s">
        <v>94</v>
      </c>
      <c r="M177" s="25" t="s">
        <v>60</v>
      </c>
      <c r="N177" s="26" t="s">
        <v>445</v>
      </c>
      <c r="O177" s="25">
        <v>26012.849610000001</v>
      </c>
      <c r="P177" s="25">
        <v>144236933</v>
      </c>
      <c r="Q177" s="27">
        <v>0.41898949800000002</v>
      </c>
      <c r="R177" s="25" t="s">
        <v>64</v>
      </c>
      <c r="S177" s="28">
        <v>1977</v>
      </c>
      <c r="T177" s="39">
        <v>69.058646922450421</v>
      </c>
      <c r="U177" s="26" t="s">
        <v>66</v>
      </c>
      <c r="V177" s="26" t="s">
        <v>1159</v>
      </c>
      <c r="W177" s="26">
        <v>650000</v>
      </c>
      <c r="X177" s="16" t="s">
        <v>94</v>
      </c>
      <c r="Y177" s="26">
        <v>65</v>
      </c>
      <c r="Z177" s="26" t="s">
        <v>67</v>
      </c>
      <c r="AA177" s="26">
        <v>140970.17201155599</v>
      </c>
      <c r="AB177" s="29" t="s">
        <v>68</v>
      </c>
      <c r="AC177" s="29" t="s">
        <v>1149</v>
      </c>
      <c r="AD177" s="39">
        <v>1</v>
      </c>
      <c r="AE177" s="26">
        <v>30</v>
      </c>
      <c r="AF177" s="29" t="s">
        <v>1151</v>
      </c>
      <c r="AG177" s="25">
        <v>651351.52791976766</v>
      </c>
      <c r="AH177" s="25" t="s">
        <v>692</v>
      </c>
      <c r="AI177" s="25" t="s">
        <v>69</v>
      </c>
      <c r="AJ177" s="25" t="s">
        <v>65</v>
      </c>
      <c r="AK177" s="17" t="s">
        <v>94</v>
      </c>
      <c r="AL177" s="27">
        <f t="shared" si="47"/>
        <v>1.8454617453169866</v>
      </c>
      <c r="AM177" s="27">
        <f t="shared" si="48"/>
        <v>5.8129140247876983</v>
      </c>
      <c r="AN177" s="27">
        <f t="shared" si="49"/>
        <v>1.8195439355418688</v>
      </c>
      <c r="AO177" s="27">
        <f t="shared" si="50"/>
        <v>5.1491303104118034</v>
      </c>
      <c r="AP177" s="27">
        <f t="shared" si="51"/>
        <v>0.69083994069534582</v>
      </c>
      <c r="AQ177" s="27">
        <f t="shared" si="52"/>
        <v>0.78503446200088378</v>
      </c>
      <c r="AR177" s="27">
        <f t="shared" si="53"/>
        <v>0.44283328180195258</v>
      </c>
      <c r="AS177" s="27">
        <f t="shared" si="54"/>
        <v>0.53229523073888152</v>
      </c>
      <c r="AT177" s="27">
        <f t="shared" si="46"/>
        <v>61.3</v>
      </c>
      <c r="AU177" s="27" t="b">
        <f t="shared" si="45"/>
        <v>0</v>
      </c>
      <c r="AV177" s="11"/>
    </row>
    <row r="178" spans="1:48" s="30" customFormat="1">
      <c r="A178" s="25" t="s">
        <v>693</v>
      </c>
      <c r="B178" s="26" t="s">
        <v>704</v>
      </c>
      <c r="C178" s="26" t="s">
        <v>691</v>
      </c>
      <c r="D178" s="26" t="s">
        <v>673</v>
      </c>
      <c r="E178" s="25" t="s">
        <v>683</v>
      </c>
      <c r="F178" s="25">
        <v>643</v>
      </c>
      <c r="G178" s="25" t="s">
        <v>203</v>
      </c>
      <c r="H178" s="25" t="s">
        <v>678</v>
      </c>
      <c r="I178" s="50">
        <v>55.228319999999997</v>
      </c>
      <c r="J178" s="50">
        <v>39.242190000000001</v>
      </c>
      <c r="K178" s="25" t="s">
        <v>62</v>
      </c>
      <c r="L178" s="16" t="s">
        <v>94</v>
      </c>
      <c r="M178" s="25" t="s">
        <v>60</v>
      </c>
      <c r="N178" s="26" t="s">
        <v>445</v>
      </c>
      <c r="O178" s="25">
        <v>26012.849610000001</v>
      </c>
      <c r="P178" s="25">
        <v>144236933</v>
      </c>
      <c r="Q178" s="27">
        <v>0.41898949800000002</v>
      </c>
      <c r="R178" s="25" t="s">
        <v>64</v>
      </c>
      <c r="S178" s="28">
        <v>2020</v>
      </c>
      <c r="T178" s="39">
        <v>16</v>
      </c>
      <c r="U178" s="26" t="s">
        <v>66</v>
      </c>
      <c r="V178" s="26" t="s">
        <v>1159</v>
      </c>
      <c r="W178" s="26">
        <v>599000</v>
      </c>
      <c r="X178" s="16" t="s">
        <v>94</v>
      </c>
      <c r="Y178" s="26">
        <v>59.900000000000006</v>
      </c>
      <c r="Z178" s="26" t="s">
        <v>67</v>
      </c>
      <c r="AA178" s="26">
        <v>3870.5819839830501</v>
      </c>
      <c r="AB178" s="29" t="s">
        <v>89</v>
      </c>
      <c r="AC178" s="29" t="s">
        <v>70</v>
      </c>
      <c r="AD178" s="39" t="s">
        <v>70</v>
      </c>
      <c r="AE178" s="29" t="s">
        <v>70</v>
      </c>
      <c r="AF178" s="29" t="s">
        <v>70</v>
      </c>
      <c r="AG178" s="25">
        <v>600245.48495990876</v>
      </c>
      <c r="AH178" s="25" t="s">
        <v>705</v>
      </c>
      <c r="AI178" s="25" t="s">
        <v>69</v>
      </c>
      <c r="AJ178" s="25" t="s">
        <v>65</v>
      </c>
      <c r="AK178" s="17" t="s">
        <v>94</v>
      </c>
      <c r="AL178" s="27">
        <f t="shared" si="47"/>
        <v>1.2304489213782739</v>
      </c>
      <c r="AM178" s="27">
        <f t="shared" si="48"/>
        <v>5.7774275474212304</v>
      </c>
      <c r="AN178" s="27">
        <f t="shared" si="49"/>
        <v>1.7846172926328754</v>
      </c>
      <c r="AO178" s="27">
        <f t="shared" si="50"/>
        <v>3.5878884602454124</v>
      </c>
      <c r="AP178" s="27">
        <f t="shared" si="51"/>
        <v>0.45779555418295848</v>
      </c>
      <c r="AQ178" s="27">
        <f t="shared" si="52"/>
        <v>0.77375382446869556</v>
      </c>
      <c r="AR178" s="27">
        <f t="shared" si="53"/>
        <v>0.43390873809944758</v>
      </c>
      <c r="AS178" s="27">
        <f t="shared" si="54"/>
        <v>0.13813800846414889</v>
      </c>
      <c r="AT178" s="27">
        <f t="shared" si="46"/>
        <v>45.1</v>
      </c>
      <c r="AU178" s="27" t="b">
        <f t="shared" si="45"/>
        <v>0</v>
      </c>
      <c r="AV178" s="11"/>
    </row>
    <row r="179" spans="1:48">
      <c r="A179" s="25" t="s">
        <v>697</v>
      </c>
      <c r="B179" s="26" t="s">
        <v>681</v>
      </c>
      <c r="C179" s="26" t="s">
        <v>682</v>
      </c>
      <c r="D179" s="26" t="s">
        <v>673</v>
      </c>
      <c r="E179" s="25" t="s">
        <v>683</v>
      </c>
      <c r="F179" s="25">
        <v>643</v>
      </c>
      <c r="G179" s="25" t="s">
        <v>203</v>
      </c>
      <c r="H179" s="25" t="s">
        <v>678</v>
      </c>
      <c r="I179" s="50">
        <v>56.326090000000001</v>
      </c>
      <c r="J179" s="50">
        <v>43.56579</v>
      </c>
      <c r="K179" s="25" t="s">
        <v>62</v>
      </c>
      <c r="L179" s="16" t="s">
        <v>94</v>
      </c>
      <c r="M179" s="25" t="s">
        <v>60</v>
      </c>
      <c r="N179" s="26" t="s">
        <v>445</v>
      </c>
      <c r="O179" s="25">
        <v>26012.849610000001</v>
      </c>
      <c r="P179" s="25">
        <v>144236933</v>
      </c>
      <c r="Q179" s="27">
        <v>0.41898949800000002</v>
      </c>
      <c r="R179" s="25" t="s">
        <v>64</v>
      </c>
      <c r="S179" s="28">
        <v>2012</v>
      </c>
      <c r="T179" s="39">
        <v>21.3253448517601</v>
      </c>
      <c r="U179" s="26" t="s">
        <v>66</v>
      </c>
      <c r="V179" s="26" t="s">
        <v>1159</v>
      </c>
      <c r="W179" s="26">
        <v>882826</v>
      </c>
      <c r="X179" s="16" t="s">
        <v>94</v>
      </c>
      <c r="Y179" s="26">
        <v>88.282600000000002</v>
      </c>
      <c r="Z179" s="26" t="s">
        <v>67</v>
      </c>
      <c r="AA179" s="26">
        <v>36228.461624012001</v>
      </c>
      <c r="AB179" s="29" t="s">
        <v>89</v>
      </c>
      <c r="AC179" s="29" t="s">
        <v>70</v>
      </c>
      <c r="AD179" s="39" t="s">
        <v>70</v>
      </c>
      <c r="AE179" s="29" t="s">
        <v>70</v>
      </c>
      <c r="AF179" s="29" t="s">
        <v>70</v>
      </c>
      <c r="AG179" s="25">
        <v>884661.63690353313</v>
      </c>
      <c r="AH179" s="25" t="s">
        <v>684</v>
      </c>
      <c r="AI179" s="25" t="s">
        <v>69</v>
      </c>
      <c r="AJ179" s="25" t="s">
        <v>65</v>
      </c>
      <c r="AK179" s="17" t="s">
        <v>94</v>
      </c>
      <c r="AL179" s="27">
        <f t="shared" si="47"/>
        <v>1.3487981760067107</v>
      </c>
      <c r="AM179" s="27">
        <f t="shared" si="48"/>
        <v>5.9458756069677543</v>
      </c>
      <c r="AN179" s="27">
        <f t="shared" si="49"/>
        <v>1.9507668288740989</v>
      </c>
      <c r="AO179" s="27">
        <f t="shared" si="50"/>
        <v>4.5590618803923055</v>
      </c>
      <c r="AP179" s="27">
        <f t="shared" si="51"/>
        <v>0.50264117099863459</v>
      </c>
      <c r="AQ179" s="27">
        <f t="shared" si="52"/>
        <v>0.82730102452243615</v>
      </c>
      <c r="AR179" s="27">
        <f t="shared" si="53"/>
        <v>0.47636368577934407</v>
      </c>
      <c r="AS179" s="27">
        <f t="shared" si="54"/>
        <v>0.38332424760535211</v>
      </c>
      <c r="AT179" s="27">
        <f t="shared" si="46"/>
        <v>54.7</v>
      </c>
      <c r="AU179" s="27" t="b">
        <f t="shared" si="45"/>
        <v>0</v>
      </c>
      <c r="AV179"/>
    </row>
    <row r="180" spans="1:48" s="30" customFormat="1">
      <c r="A180" s="25" t="s">
        <v>701</v>
      </c>
      <c r="B180" s="26" t="s">
        <v>727</v>
      </c>
      <c r="C180" s="26" t="s">
        <v>727</v>
      </c>
      <c r="D180" s="26" t="s">
        <v>673</v>
      </c>
      <c r="E180" s="25" t="s">
        <v>683</v>
      </c>
      <c r="F180" s="25">
        <v>643</v>
      </c>
      <c r="G180" s="25" t="s">
        <v>203</v>
      </c>
      <c r="H180" s="25" t="s">
        <v>678</v>
      </c>
      <c r="I180" s="50">
        <v>55.052969050000002</v>
      </c>
      <c r="J180" s="50">
        <v>83.073098659999999</v>
      </c>
      <c r="K180" s="25" t="s">
        <v>62</v>
      </c>
      <c r="L180" s="16" t="s">
        <v>729</v>
      </c>
      <c r="M180" s="25" t="s">
        <v>60</v>
      </c>
      <c r="N180" s="26" t="s">
        <v>445</v>
      </c>
      <c r="O180" s="25">
        <v>26012.849610000001</v>
      </c>
      <c r="P180" s="25">
        <v>144236933</v>
      </c>
      <c r="Q180" s="27">
        <v>0.41898949800000002</v>
      </c>
      <c r="R180" s="25" t="s">
        <v>64</v>
      </c>
      <c r="S180" s="28" t="s">
        <v>65</v>
      </c>
      <c r="T180" s="39">
        <v>34.607208082826247</v>
      </c>
      <c r="U180" s="26" t="s">
        <v>66</v>
      </c>
      <c r="V180" s="26" t="s">
        <v>1160</v>
      </c>
      <c r="W180" s="26">
        <v>270100.2868369582</v>
      </c>
      <c r="X180" s="16" t="s">
        <v>79</v>
      </c>
      <c r="Y180" s="26">
        <v>27.010028683695822</v>
      </c>
      <c r="Z180" s="26" t="s">
        <v>67</v>
      </c>
      <c r="AA180" s="26">
        <v>635631.98266930797</v>
      </c>
      <c r="AB180" s="29" t="s">
        <v>68</v>
      </c>
      <c r="AC180" s="29" t="s">
        <v>1149</v>
      </c>
      <c r="AD180" s="39">
        <v>1</v>
      </c>
      <c r="AE180" s="26">
        <v>1</v>
      </c>
      <c r="AF180" s="29" t="s">
        <v>1151</v>
      </c>
      <c r="AG180" s="25">
        <v>270661.89926587715</v>
      </c>
      <c r="AH180" s="25" t="s">
        <v>65</v>
      </c>
      <c r="AI180" s="25" t="s">
        <v>69</v>
      </c>
      <c r="AJ180" s="25" t="s">
        <v>65</v>
      </c>
      <c r="AK180" s="17" t="s">
        <v>70</v>
      </c>
      <c r="AL180" s="27">
        <f t="shared" si="47"/>
        <v>1.5515379225156711</v>
      </c>
      <c r="AM180" s="27">
        <f t="shared" si="48"/>
        <v>5.4315266532909634</v>
      </c>
      <c r="AN180" s="27">
        <f t="shared" si="49"/>
        <v>1.4473135535634625</v>
      </c>
      <c r="AO180" s="27">
        <f t="shared" si="50"/>
        <v>5.8032064244378514</v>
      </c>
      <c r="AP180" s="27">
        <f t="shared" si="51"/>
        <v>0.579464544443553</v>
      </c>
      <c r="AQ180" s="27">
        <f t="shared" si="52"/>
        <v>0.66379693670979845</v>
      </c>
      <c r="AR180" s="27">
        <f t="shared" si="53"/>
        <v>0.34772003773717486</v>
      </c>
      <c r="AS180" s="27">
        <f t="shared" si="54"/>
        <v>0.69742584406011821</v>
      </c>
      <c r="AT180" s="27">
        <f t="shared" si="46"/>
        <v>57.2</v>
      </c>
      <c r="AU180" s="27" t="b">
        <f t="shared" si="45"/>
        <v>0</v>
      </c>
      <c r="AV180" s="11"/>
    </row>
    <row r="181" spans="1:48" s="30" customFormat="1">
      <c r="A181" s="25" t="s">
        <v>703</v>
      </c>
      <c r="B181" s="26" t="s">
        <v>953</v>
      </c>
      <c r="C181" s="26" t="s">
        <v>954</v>
      </c>
      <c r="D181" s="26" t="s">
        <v>673</v>
      </c>
      <c r="E181" s="25" t="s">
        <v>683</v>
      </c>
      <c r="F181" s="25">
        <v>643</v>
      </c>
      <c r="G181" s="25" t="s">
        <v>203</v>
      </c>
      <c r="H181" s="25" t="s">
        <v>678</v>
      </c>
      <c r="I181" s="50">
        <v>54.590150000000001</v>
      </c>
      <c r="J181" s="50">
        <v>39.673810000000003</v>
      </c>
      <c r="K181" s="25" t="s">
        <v>859</v>
      </c>
      <c r="L181" s="16" t="s">
        <v>94</v>
      </c>
      <c r="M181" s="25" t="s">
        <v>60</v>
      </c>
      <c r="N181" s="26" t="s">
        <v>445</v>
      </c>
      <c r="O181" s="25">
        <v>26012.849610000001</v>
      </c>
      <c r="P181" s="25">
        <v>144236933</v>
      </c>
      <c r="Q181" s="27">
        <v>0.41898949800000002</v>
      </c>
      <c r="R181" s="25" t="s">
        <v>64</v>
      </c>
      <c r="S181" s="28">
        <v>1956</v>
      </c>
      <c r="T181" s="39">
        <v>36.488268937161841</v>
      </c>
      <c r="U181" s="26" t="s">
        <v>66</v>
      </c>
      <c r="V181" s="26" t="s">
        <v>1159</v>
      </c>
      <c r="W181" s="26">
        <v>600000</v>
      </c>
      <c r="X181" s="16" t="s">
        <v>94</v>
      </c>
      <c r="Y181" s="52">
        <f>0.0001 *W181</f>
        <v>60</v>
      </c>
      <c r="Z181" s="26" t="s">
        <v>67</v>
      </c>
      <c r="AA181" s="29">
        <v>459937.77984357101</v>
      </c>
      <c r="AB181" s="29" t="s">
        <v>68</v>
      </c>
      <c r="AC181" s="29" t="s">
        <v>1149</v>
      </c>
      <c r="AD181" s="39">
        <v>1</v>
      </c>
      <c r="AE181" s="26">
        <v>2</v>
      </c>
      <c r="AF181" s="29" t="s">
        <v>1151</v>
      </c>
      <c r="AG181" s="25">
        <v>601247.56423363148</v>
      </c>
      <c r="AH181" s="25" t="s">
        <v>702</v>
      </c>
      <c r="AI181" s="25" t="s">
        <v>69</v>
      </c>
      <c r="AJ181" s="25" t="s">
        <v>65</v>
      </c>
      <c r="AK181" s="17" t="s">
        <v>94</v>
      </c>
      <c r="AL181" s="27">
        <f t="shared" si="47"/>
        <v>1.5738953868500498</v>
      </c>
      <c r="AM181" s="27">
        <f t="shared" si="48"/>
        <v>5.7781519742071765</v>
      </c>
      <c r="AN181" s="27">
        <f t="shared" si="49"/>
        <v>1.7853298350107671</v>
      </c>
      <c r="AO181" s="27">
        <f t="shared" si="50"/>
        <v>5.6627000287565528</v>
      </c>
      <c r="AP181" s="27">
        <f t="shared" si="51"/>
        <v>0.58793637032583257</v>
      </c>
      <c r="AQ181" s="27">
        <f t="shared" si="52"/>
        <v>0.77398410925877137</v>
      </c>
      <c r="AR181" s="27">
        <f t="shared" si="53"/>
        <v>0.43409080872123484</v>
      </c>
      <c r="AS181" s="27">
        <f t="shared" si="54"/>
        <v>0.66195304999706339</v>
      </c>
      <c r="AT181" s="27">
        <f t="shared" si="46"/>
        <v>61.4</v>
      </c>
      <c r="AU181" s="27" t="b">
        <f t="shared" si="45"/>
        <v>0</v>
      </c>
      <c r="AV181" s="11"/>
    </row>
    <row r="182" spans="1:48" s="30" customFormat="1">
      <c r="A182" s="25" t="s">
        <v>706</v>
      </c>
      <c r="B182" s="26" t="s">
        <v>686</v>
      </c>
      <c r="C182" s="26" t="s">
        <v>687</v>
      </c>
      <c r="D182" s="26" t="s">
        <v>673</v>
      </c>
      <c r="E182" s="25" t="s">
        <v>683</v>
      </c>
      <c r="F182" s="25">
        <v>643</v>
      </c>
      <c r="G182" s="25" t="s">
        <v>203</v>
      </c>
      <c r="H182" s="25" t="s">
        <v>678</v>
      </c>
      <c r="I182" s="50">
        <v>54.879829999999998</v>
      </c>
      <c r="J182" s="50">
        <v>56.140520000000002</v>
      </c>
      <c r="K182" s="25" t="s">
        <v>62</v>
      </c>
      <c r="L182" s="16" t="s">
        <v>94</v>
      </c>
      <c r="M182" s="25" t="s">
        <v>60</v>
      </c>
      <c r="N182" s="26" t="s">
        <v>445</v>
      </c>
      <c r="O182" s="25">
        <v>26012.849610000001</v>
      </c>
      <c r="P182" s="25">
        <v>144236933</v>
      </c>
      <c r="Q182" s="27">
        <v>0.41898949800000002</v>
      </c>
      <c r="R182" s="25" t="s">
        <v>64</v>
      </c>
      <c r="S182" s="28">
        <v>1977</v>
      </c>
      <c r="T182" s="39">
        <v>28.571720907321009</v>
      </c>
      <c r="U182" s="26" t="s">
        <v>66</v>
      </c>
      <c r="V182" s="26" t="s">
        <v>1160</v>
      </c>
      <c r="W182" s="26">
        <v>686600</v>
      </c>
      <c r="X182" s="16" t="s">
        <v>94</v>
      </c>
      <c r="Y182" s="26">
        <v>68.66</v>
      </c>
      <c r="Z182" s="26" t="s">
        <v>67</v>
      </c>
      <c r="AA182" s="26">
        <v>233355.65786763901</v>
      </c>
      <c r="AB182" s="29" t="s">
        <v>68</v>
      </c>
      <c r="AC182" s="29" t="s">
        <v>1149</v>
      </c>
      <c r="AD182" s="39">
        <v>1.1666666666666601</v>
      </c>
      <c r="AE182" s="26">
        <v>6</v>
      </c>
      <c r="AF182" s="29" t="s">
        <v>1151</v>
      </c>
      <c r="AG182" s="25">
        <v>688027.62933801895</v>
      </c>
      <c r="AH182" s="25" t="s">
        <v>688</v>
      </c>
      <c r="AI182" s="25" t="s">
        <v>69</v>
      </c>
      <c r="AJ182" s="25" t="s">
        <v>65</v>
      </c>
      <c r="AK182" s="17" t="s">
        <v>94</v>
      </c>
      <c r="AL182" s="27">
        <f t="shared" si="47"/>
        <v>1.4708765987502059</v>
      </c>
      <c r="AM182" s="27">
        <f t="shared" si="48"/>
        <v>5.8367044316183732</v>
      </c>
      <c r="AN182" s="27">
        <f t="shared" si="49"/>
        <v>1.8429834701222174</v>
      </c>
      <c r="AO182" s="27">
        <f t="shared" si="50"/>
        <v>5.3680201961957978</v>
      </c>
      <c r="AP182" s="27">
        <f t="shared" si="51"/>
        <v>0.54889986679697256</v>
      </c>
      <c r="AQ182" s="27">
        <f t="shared" si="52"/>
        <v>0.79259708799581363</v>
      </c>
      <c r="AR182" s="27">
        <f t="shared" si="53"/>
        <v>0.44882261067257345</v>
      </c>
      <c r="AS182" s="27">
        <f t="shared" si="54"/>
        <v>0.5875570272090811</v>
      </c>
      <c r="AT182" s="27">
        <f t="shared" si="46"/>
        <v>59.4</v>
      </c>
      <c r="AU182" s="27" t="b">
        <f t="shared" si="45"/>
        <v>0</v>
      </c>
      <c r="AV182" s="11"/>
    </row>
    <row r="183" spans="1:48" s="30" customFormat="1">
      <c r="A183" s="25" t="s">
        <v>710</v>
      </c>
      <c r="B183" s="26" t="s">
        <v>723</v>
      </c>
      <c r="C183" s="26" t="s">
        <v>724</v>
      </c>
      <c r="D183" s="26" t="s">
        <v>673</v>
      </c>
      <c r="E183" s="25" t="s">
        <v>683</v>
      </c>
      <c r="F183" s="25">
        <v>643</v>
      </c>
      <c r="G183" s="25" t="s">
        <v>203</v>
      </c>
      <c r="H183" s="25" t="s">
        <v>678</v>
      </c>
      <c r="I183" s="50">
        <v>47.325150000000001</v>
      </c>
      <c r="J183" s="50">
        <v>39.250109999999999</v>
      </c>
      <c r="K183" s="25" t="s">
        <v>62</v>
      </c>
      <c r="L183" s="16" t="s">
        <v>94</v>
      </c>
      <c r="M183" s="25" t="s">
        <v>60</v>
      </c>
      <c r="N183" s="26" t="s">
        <v>445</v>
      </c>
      <c r="O183" s="25">
        <v>26012.849610000001</v>
      </c>
      <c r="P183" s="25">
        <v>144236933</v>
      </c>
      <c r="Q183" s="27">
        <v>0.41898949800000002</v>
      </c>
      <c r="R183" s="25" t="s">
        <v>64</v>
      </c>
      <c r="S183" s="28">
        <v>2020</v>
      </c>
      <c r="T183" s="39">
        <v>12.604463173445971</v>
      </c>
      <c r="U183" s="26" t="s">
        <v>66</v>
      </c>
      <c r="V183" s="26" t="s">
        <v>1159</v>
      </c>
      <c r="W183" s="26">
        <v>440000</v>
      </c>
      <c r="X183" s="16" t="s">
        <v>94</v>
      </c>
      <c r="Y183" s="26">
        <v>500</v>
      </c>
      <c r="Z183" s="26" t="s">
        <v>67</v>
      </c>
      <c r="AA183" s="26">
        <v>5394.5064017616396</v>
      </c>
      <c r="AB183" s="29" t="s">
        <v>89</v>
      </c>
      <c r="AC183" s="29" t="s">
        <v>70</v>
      </c>
      <c r="AD183" s="39" t="s">
        <v>70</v>
      </c>
      <c r="AE183" s="29" t="s">
        <v>70</v>
      </c>
      <c r="AF183" s="29" t="s">
        <v>70</v>
      </c>
      <c r="AG183" s="25">
        <v>440914.88043799641</v>
      </c>
      <c r="AH183" s="25" t="s">
        <v>725</v>
      </c>
      <c r="AI183" s="25" t="s">
        <v>69</v>
      </c>
      <c r="AJ183" s="25" t="s">
        <v>65</v>
      </c>
      <c r="AK183" s="17" t="s">
        <v>94</v>
      </c>
      <c r="AL183" s="27">
        <f t="shared" si="47"/>
        <v>1.1336814093712035</v>
      </c>
      <c r="AM183" s="27">
        <f t="shared" si="48"/>
        <v>5.6434536635179793</v>
      </c>
      <c r="AN183" s="27">
        <f t="shared" si="49"/>
        <v>2.6998377258672459</v>
      </c>
      <c r="AO183" s="27">
        <f t="shared" si="50"/>
        <v>3.732032212164361</v>
      </c>
      <c r="AP183" s="27">
        <f t="shared" si="51"/>
        <v>0.4211278220768308</v>
      </c>
      <c r="AQ183" s="27">
        <f t="shared" si="52"/>
        <v>0.7311654658811475</v>
      </c>
      <c r="AR183" s="27">
        <f t="shared" si="53"/>
        <v>0.66776816670552563</v>
      </c>
      <c r="AS183" s="27">
        <f t="shared" si="54"/>
        <v>0.17452910370578348</v>
      </c>
      <c r="AT183" s="27">
        <f t="shared" si="46"/>
        <v>49.9</v>
      </c>
      <c r="AU183" s="27" t="b">
        <f t="shared" si="45"/>
        <v>0</v>
      </c>
      <c r="AV183" s="11"/>
    </row>
    <row r="184" spans="1:48" s="30" customFormat="1">
      <c r="A184" s="25" t="s">
        <v>714</v>
      </c>
      <c r="B184" s="26" t="s">
        <v>715</v>
      </c>
      <c r="C184" s="26" t="s">
        <v>716</v>
      </c>
      <c r="D184" s="26" t="s">
        <v>673</v>
      </c>
      <c r="E184" s="25" t="s">
        <v>683</v>
      </c>
      <c r="F184" s="25">
        <v>643</v>
      </c>
      <c r="G184" s="25" t="s">
        <v>203</v>
      </c>
      <c r="H184" s="25" t="s">
        <v>678</v>
      </c>
      <c r="I184" s="50">
        <v>56.548439999999999</v>
      </c>
      <c r="J184" s="50">
        <v>85.390860000000004</v>
      </c>
      <c r="K184" s="25" t="s">
        <v>62</v>
      </c>
      <c r="L184" s="16" t="s">
        <v>94</v>
      </c>
      <c r="M184" s="25" t="s">
        <v>60</v>
      </c>
      <c r="N184" s="26" t="s">
        <v>445</v>
      </c>
      <c r="O184" s="25">
        <v>26012.849610000001</v>
      </c>
      <c r="P184" s="25">
        <v>144236933</v>
      </c>
      <c r="Q184" s="27">
        <v>0.41898949800000002</v>
      </c>
      <c r="R184" s="25" t="s">
        <v>64</v>
      </c>
      <c r="S184" s="28">
        <v>2010</v>
      </c>
      <c r="T184" s="39">
        <v>32.315500762766881</v>
      </c>
      <c r="U184" s="26" t="s">
        <v>66</v>
      </c>
      <c r="V184" s="26" t="s">
        <v>1160</v>
      </c>
      <c r="W184" s="26">
        <v>450000</v>
      </c>
      <c r="X184" s="16" t="s">
        <v>94</v>
      </c>
      <c r="Y184" s="26">
        <v>44.915487957764405</v>
      </c>
      <c r="Z184" s="26" t="s">
        <v>67</v>
      </c>
      <c r="AA184" s="26">
        <v>1409.8977908132599</v>
      </c>
      <c r="AB184" s="29" t="s">
        <v>68</v>
      </c>
      <c r="AC184" s="29" t="s">
        <v>1149</v>
      </c>
      <c r="AD184" s="39">
        <v>1</v>
      </c>
      <c r="AE184" s="26">
        <v>16</v>
      </c>
      <c r="AF184" s="29" t="s">
        <v>1151</v>
      </c>
      <c r="AG184" s="25">
        <v>450935.67317522364</v>
      </c>
      <c r="AH184" s="25" t="s">
        <v>717</v>
      </c>
      <c r="AI184" s="25" t="s">
        <v>69</v>
      </c>
      <c r="AJ184" s="25" t="s">
        <v>65</v>
      </c>
      <c r="AK184" s="17" t="s">
        <v>94</v>
      </c>
      <c r="AL184" s="27">
        <f t="shared" si="47"/>
        <v>1.5226463455006565</v>
      </c>
      <c r="AM184" s="27">
        <f t="shared" si="48"/>
        <v>5.6532134788731199</v>
      </c>
      <c r="AN184" s="27">
        <f t="shared" si="49"/>
        <v>1.6619592040562268</v>
      </c>
      <c r="AO184" s="27">
        <f t="shared" si="50"/>
        <v>3.1494955534470574</v>
      </c>
      <c r="AP184" s="27">
        <f t="shared" si="51"/>
        <v>0.56851677298454606</v>
      </c>
      <c r="AQ184" s="27">
        <f t="shared" si="52"/>
        <v>0.73426796992136145</v>
      </c>
      <c r="AR184" s="27">
        <f t="shared" si="53"/>
        <v>0.40256683458984449</v>
      </c>
      <c r="AS184" s="27">
        <f t="shared" si="54"/>
        <v>2.7459621006004912E-2</v>
      </c>
      <c r="AT184" s="27">
        <f t="shared" si="46"/>
        <v>43.3</v>
      </c>
      <c r="AU184" s="27" t="b">
        <f t="shared" si="45"/>
        <v>0</v>
      </c>
      <c r="AV184" s="11"/>
    </row>
    <row r="185" spans="1:48" s="30" customFormat="1">
      <c r="A185" s="25" t="s">
        <v>718</v>
      </c>
      <c r="B185" s="26" t="s">
        <v>719</v>
      </c>
      <c r="C185" s="26" t="s">
        <v>720</v>
      </c>
      <c r="D185" s="26" t="s">
        <v>673</v>
      </c>
      <c r="E185" s="25" t="s">
        <v>683</v>
      </c>
      <c r="F185" s="25">
        <v>643</v>
      </c>
      <c r="G185" s="25" t="s">
        <v>203</v>
      </c>
      <c r="H185" s="25" t="s">
        <v>678</v>
      </c>
      <c r="I185" s="50">
        <v>54.142589999999998</v>
      </c>
      <c r="J185" s="50">
        <v>37.655419999999999</v>
      </c>
      <c r="K185" s="25" t="s">
        <v>62</v>
      </c>
      <c r="L185" s="16" t="s">
        <v>94</v>
      </c>
      <c r="M185" s="25" t="s">
        <v>60</v>
      </c>
      <c r="N185" s="26" t="s">
        <v>445</v>
      </c>
      <c r="O185" s="25">
        <v>26012.849610000001</v>
      </c>
      <c r="P185" s="25">
        <v>144236933</v>
      </c>
      <c r="Q185" s="27">
        <v>0.41898949800000002</v>
      </c>
      <c r="R185" s="25" t="s">
        <v>64</v>
      </c>
      <c r="S185" s="28">
        <v>1973</v>
      </c>
      <c r="T185" s="39">
        <v>13.689287940114459</v>
      </c>
      <c r="U185" s="26" t="s">
        <v>66</v>
      </c>
      <c r="V185" s="26" t="s">
        <v>1159</v>
      </c>
      <c r="W185" s="26">
        <v>449000</v>
      </c>
      <c r="X185" s="16" t="s">
        <v>94</v>
      </c>
      <c r="Y185" s="26">
        <v>44.874572716664112</v>
      </c>
      <c r="Z185" s="26" t="s">
        <v>67</v>
      </c>
      <c r="AA185" s="26">
        <v>392962.14014320698</v>
      </c>
      <c r="AB185" s="29" t="s">
        <v>89</v>
      </c>
      <c r="AC185" s="29" t="s">
        <v>70</v>
      </c>
      <c r="AD185" s="39" t="s">
        <v>70</v>
      </c>
      <c r="AE185" s="29" t="s">
        <v>70</v>
      </c>
      <c r="AF185" s="29" t="s">
        <v>70</v>
      </c>
      <c r="AG185" s="25">
        <v>449933.59390150051</v>
      </c>
      <c r="AH185" s="25" t="s">
        <v>721</v>
      </c>
      <c r="AI185" s="25" t="s">
        <v>69</v>
      </c>
      <c r="AJ185" s="25" t="s">
        <v>65</v>
      </c>
      <c r="AK185" s="17" t="s">
        <v>94</v>
      </c>
      <c r="AL185" s="27">
        <f t="shared" si="47"/>
        <v>1.167000743974449</v>
      </c>
      <c r="AM185" s="27">
        <f t="shared" si="48"/>
        <v>5.6522473082505353</v>
      </c>
      <c r="AN185" s="27">
        <f t="shared" si="49"/>
        <v>1.6615720321885559</v>
      </c>
      <c r="AO185" s="27">
        <f t="shared" si="50"/>
        <v>5.5943518155582241</v>
      </c>
      <c r="AP185" s="27">
        <f t="shared" si="51"/>
        <v>0.43375338627545323</v>
      </c>
      <c r="AQ185" s="27">
        <f t="shared" si="52"/>
        <v>0.7339608382645596</v>
      </c>
      <c r="AR185" s="27">
        <f t="shared" si="53"/>
        <v>0.40246790345974953</v>
      </c>
      <c r="AS185" s="27">
        <f t="shared" si="54"/>
        <v>0.64469759283722405</v>
      </c>
      <c r="AT185" s="27">
        <f t="shared" si="46"/>
        <v>55.4</v>
      </c>
      <c r="AU185" s="27" t="b">
        <f t="shared" si="45"/>
        <v>0</v>
      </c>
      <c r="AV185" s="11"/>
    </row>
    <row r="186" spans="1:48">
      <c r="A186" s="25" t="s">
        <v>722</v>
      </c>
      <c r="B186" s="26" t="s">
        <v>694</v>
      </c>
      <c r="C186" s="26" t="s">
        <v>695</v>
      </c>
      <c r="D186" s="26" t="s">
        <v>673</v>
      </c>
      <c r="E186" s="25" t="s">
        <v>683</v>
      </c>
      <c r="F186" s="25">
        <v>643</v>
      </c>
      <c r="G186" s="25" t="s">
        <v>203</v>
      </c>
      <c r="H186" s="25" t="s">
        <v>678</v>
      </c>
      <c r="I186" s="50">
        <v>51.652270000000001</v>
      </c>
      <c r="J186" s="50">
        <v>39.010759999999998</v>
      </c>
      <c r="K186" s="25" t="s">
        <v>62</v>
      </c>
      <c r="L186" s="16" t="s">
        <v>94</v>
      </c>
      <c r="M186" s="25" t="s">
        <v>60</v>
      </c>
      <c r="N186" s="26" t="s">
        <v>445</v>
      </c>
      <c r="O186" s="25">
        <v>26012.849610000001</v>
      </c>
      <c r="P186" s="25">
        <v>144236933</v>
      </c>
      <c r="Q186" s="27">
        <v>0.41898949800000002</v>
      </c>
      <c r="R186" s="25" t="s">
        <v>64</v>
      </c>
      <c r="S186" s="28">
        <v>2011</v>
      </c>
      <c r="T186" s="39">
        <v>34.880882929492003</v>
      </c>
      <c r="U186" s="26" t="s">
        <v>66</v>
      </c>
      <c r="V186" s="26" t="s">
        <v>1159</v>
      </c>
      <c r="W186" s="26">
        <v>600000</v>
      </c>
      <c r="X186" s="16" t="s">
        <v>94</v>
      </c>
      <c r="Y186" s="26">
        <v>60</v>
      </c>
      <c r="Z186" s="26" t="s">
        <v>67</v>
      </c>
      <c r="AA186" s="26">
        <v>208458.597815521</v>
      </c>
      <c r="AB186" s="29" t="s">
        <v>89</v>
      </c>
      <c r="AC186" s="29" t="s">
        <v>70</v>
      </c>
      <c r="AD186" s="39" t="s">
        <v>70</v>
      </c>
      <c r="AE186" s="29" t="s">
        <v>70</v>
      </c>
      <c r="AF186" s="29" t="s">
        <v>70</v>
      </c>
      <c r="AG186" s="30">
        <v>601247.56423363148</v>
      </c>
      <c r="AH186" s="25" t="s">
        <v>696</v>
      </c>
      <c r="AI186" s="25" t="s">
        <v>69</v>
      </c>
      <c r="AJ186" s="25" t="s">
        <v>65</v>
      </c>
      <c r="AK186" s="17" t="s">
        <v>94</v>
      </c>
      <c r="AL186" s="27">
        <f t="shared" si="47"/>
        <v>1.5548631212920212</v>
      </c>
      <c r="AM186" s="27">
        <f t="shared" si="48"/>
        <v>5.7781519742071765</v>
      </c>
      <c r="AN186" s="27">
        <f t="shared" si="49"/>
        <v>1.7853298350107671</v>
      </c>
      <c r="AO186" s="27">
        <f t="shared" si="50"/>
        <v>5.3190218955398434</v>
      </c>
      <c r="AP186" s="27">
        <f t="shared" si="51"/>
        <v>0.58072454891614833</v>
      </c>
      <c r="AQ186" s="27">
        <f t="shared" si="52"/>
        <v>0.77398410925877137</v>
      </c>
      <c r="AR186" s="27">
        <f t="shared" si="53"/>
        <v>0.43409080872123484</v>
      </c>
      <c r="AS186" s="27">
        <f t="shared" si="54"/>
        <v>0.57518672463188913</v>
      </c>
      <c r="AT186" s="27">
        <f t="shared" si="46"/>
        <v>59.1</v>
      </c>
      <c r="AU186" s="27" t="b">
        <f t="shared" si="45"/>
        <v>0</v>
      </c>
      <c r="AV186"/>
    </row>
    <row r="187" spans="1:48" s="30" customFormat="1">
      <c r="A187" s="25" t="s">
        <v>740</v>
      </c>
      <c r="B187" s="26" t="s">
        <v>735</v>
      </c>
      <c r="C187" s="26" t="s">
        <v>736</v>
      </c>
      <c r="D187" s="26" t="s">
        <v>743</v>
      </c>
      <c r="E187" s="25" t="s">
        <v>737</v>
      </c>
      <c r="F187" s="25">
        <v>686</v>
      </c>
      <c r="G187" s="25" t="s">
        <v>125</v>
      </c>
      <c r="H187" s="25" t="s">
        <v>173</v>
      </c>
      <c r="I187" s="50">
        <v>14.803592999999999</v>
      </c>
      <c r="J187" s="50">
        <v>-17.313251600000001</v>
      </c>
      <c r="K187" s="25" t="s">
        <v>62</v>
      </c>
      <c r="L187" s="16" t="s">
        <v>101</v>
      </c>
      <c r="M187" s="25" t="s">
        <v>88</v>
      </c>
      <c r="N187" s="26" t="s">
        <v>61</v>
      </c>
      <c r="O187" s="25">
        <v>3067.6625979999999</v>
      </c>
      <c r="P187" s="25">
        <v>17316449</v>
      </c>
      <c r="Q187" s="27">
        <v>0.15923440899999999</v>
      </c>
      <c r="R187" s="25" t="s">
        <v>64</v>
      </c>
      <c r="S187" s="28">
        <v>1968</v>
      </c>
      <c r="T187" s="39">
        <v>1.3137884081254709</v>
      </c>
      <c r="U187" s="26" t="s">
        <v>841</v>
      </c>
      <c r="V187" s="26" t="s">
        <v>1160</v>
      </c>
      <c r="W187" s="26">
        <v>475000</v>
      </c>
      <c r="X187" s="16" t="s">
        <v>101</v>
      </c>
      <c r="Y187" s="26">
        <v>46.803798810571898</v>
      </c>
      <c r="Z187" s="26" t="s">
        <v>67</v>
      </c>
      <c r="AA187" s="26">
        <v>1704022.15558156</v>
      </c>
      <c r="AB187" s="29" t="s">
        <v>68</v>
      </c>
      <c r="AC187" s="29" t="s">
        <v>1149</v>
      </c>
      <c r="AD187" s="39">
        <v>0.88235294117647001</v>
      </c>
      <c r="AE187" s="26">
        <v>17</v>
      </c>
      <c r="AF187" s="29" t="s">
        <v>1152</v>
      </c>
      <c r="AG187" s="25">
        <v>388873.44958586793</v>
      </c>
      <c r="AH187" s="25" t="s">
        <v>738</v>
      </c>
      <c r="AI187" s="25" t="s">
        <v>69</v>
      </c>
      <c r="AJ187" s="25" t="s">
        <v>738</v>
      </c>
      <c r="AK187" s="17" t="s">
        <v>739</v>
      </c>
      <c r="AL187" s="27">
        <f t="shared" si="47"/>
        <v>0.36432364096614978</v>
      </c>
      <c r="AM187" s="27">
        <f t="shared" si="48"/>
        <v>5.6766945239280764</v>
      </c>
      <c r="AN187" s="27">
        <f t="shared" si="49"/>
        <v>1.6794624099367057</v>
      </c>
      <c r="AO187" s="27">
        <f t="shared" si="50"/>
        <v>6.2314754919993254</v>
      </c>
      <c r="AP187" s="27">
        <f t="shared" si="51"/>
        <v>0.12959811380466288</v>
      </c>
      <c r="AQ187" s="27">
        <f t="shared" si="52"/>
        <v>0.74173225428541723</v>
      </c>
      <c r="AR187" s="27">
        <f t="shared" si="53"/>
        <v>0.40703929781000858</v>
      </c>
      <c r="AS187" s="27">
        <f t="shared" si="54"/>
        <v>0.80554832747819327</v>
      </c>
      <c r="AT187" s="27">
        <f t="shared" si="46"/>
        <v>52.1</v>
      </c>
      <c r="AU187" s="27" t="b">
        <f t="shared" si="45"/>
        <v>0</v>
      </c>
      <c r="AV187" s="11"/>
    </row>
    <row r="188" spans="1:48" s="30" customFormat="1">
      <c r="A188" s="25" t="s">
        <v>756</v>
      </c>
      <c r="B188" s="26" t="s">
        <v>741</v>
      </c>
      <c r="C188" s="26" t="s">
        <v>742</v>
      </c>
      <c r="D188" s="26" t="s">
        <v>759</v>
      </c>
      <c r="E188" s="25" t="s">
        <v>744</v>
      </c>
      <c r="F188" s="25">
        <v>688</v>
      </c>
      <c r="G188" s="25" t="s">
        <v>203</v>
      </c>
      <c r="H188" s="25" t="s">
        <v>204</v>
      </c>
      <c r="I188" s="50">
        <v>44.786406239999998</v>
      </c>
      <c r="J188" s="50">
        <v>20.599512140000002</v>
      </c>
      <c r="K188" s="25" t="s">
        <v>62</v>
      </c>
      <c r="L188" s="16" t="s">
        <v>101</v>
      </c>
      <c r="M188" s="25" t="s">
        <v>60</v>
      </c>
      <c r="N188" s="26" t="s">
        <v>445</v>
      </c>
      <c r="O188" s="25">
        <v>18351.273440000001</v>
      </c>
      <c r="P188" s="25">
        <v>6664449</v>
      </c>
      <c r="Q188" s="27">
        <v>0.337999993</v>
      </c>
      <c r="R188" s="25" t="s">
        <v>64</v>
      </c>
      <c r="S188" s="28">
        <v>1977</v>
      </c>
      <c r="T188" s="39">
        <v>94.268430573513456</v>
      </c>
      <c r="U188" s="26" t="s">
        <v>838</v>
      </c>
      <c r="V188" s="26" t="s">
        <v>1160</v>
      </c>
      <c r="W188" s="26">
        <v>700000</v>
      </c>
      <c r="X188" s="16" t="s">
        <v>745</v>
      </c>
      <c r="Y188" s="26">
        <v>85</v>
      </c>
      <c r="Z188" s="26" t="s">
        <v>101</v>
      </c>
      <c r="AA188" s="26">
        <v>517432.94217141799</v>
      </c>
      <c r="AB188" s="29" t="s">
        <v>68</v>
      </c>
      <c r="AC188" s="29" t="s">
        <v>1149</v>
      </c>
      <c r="AD188" s="39">
        <v>0.94444444444444398</v>
      </c>
      <c r="AE188" s="26">
        <v>18</v>
      </c>
      <c r="AF188" s="29" t="s">
        <v>1151</v>
      </c>
      <c r="AG188" s="25">
        <v>764102.21673012665</v>
      </c>
      <c r="AH188" s="25" t="s">
        <v>746</v>
      </c>
      <c r="AI188" s="25" t="s">
        <v>69</v>
      </c>
      <c r="AJ188" s="25" t="s">
        <v>747</v>
      </c>
      <c r="AK188" s="17" t="s">
        <v>748</v>
      </c>
      <c r="AL188" s="27">
        <f t="shared" si="47"/>
        <v>1.9789490108261039</v>
      </c>
      <c r="AM188" s="27">
        <f t="shared" si="48"/>
        <v>5.8450986604345019</v>
      </c>
      <c r="AN188" s="27">
        <f t="shared" si="49"/>
        <v>1.9344984512435677</v>
      </c>
      <c r="AO188" s="27">
        <f t="shared" si="50"/>
        <v>5.7138549137780119</v>
      </c>
      <c r="AP188" s="27">
        <f t="shared" si="51"/>
        <v>0.74142174433735963</v>
      </c>
      <c r="AQ188" s="27">
        <f t="shared" si="52"/>
        <v>0.79526549184044182</v>
      </c>
      <c r="AR188" s="27">
        <f t="shared" si="53"/>
        <v>0.47220674898152931</v>
      </c>
      <c r="AS188" s="27">
        <f t="shared" si="54"/>
        <v>0.6748678122958659</v>
      </c>
      <c r="AT188" s="27">
        <f t="shared" si="46"/>
        <v>67.099999999999994</v>
      </c>
      <c r="AU188" s="27" t="b">
        <f t="shared" si="45"/>
        <v>0</v>
      </c>
      <c r="AV188" s="11"/>
    </row>
    <row r="189" spans="1:48" s="30" customFormat="1">
      <c r="A189" s="25" t="s">
        <v>749</v>
      </c>
      <c r="B189" s="26" t="s">
        <v>750</v>
      </c>
      <c r="C189" s="26" t="s">
        <v>751</v>
      </c>
      <c r="D189" s="26" t="s">
        <v>752</v>
      </c>
      <c r="E189" s="25" t="s">
        <v>753</v>
      </c>
      <c r="F189" s="25">
        <v>694</v>
      </c>
      <c r="G189" s="25" t="s">
        <v>125</v>
      </c>
      <c r="H189" s="25" t="s">
        <v>173</v>
      </c>
      <c r="I189" s="50">
        <v>8.4820296600000002</v>
      </c>
      <c r="J189" s="50">
        <v>-13.20956153</v>
      </c>
      <c r="K189" s="25" t="s">
        <v>62</v>
      </c>
      <c r="L189" s="16" t="s">
        <v>101</v>
      </c>
      <c r="M189" s="25" t="s">
        <v>163</v>
      </c>
      <c r="N189" s="26" t="s">
        <v>61</v>
      </c>
      <c r="O189" s="25">
        <v>1237.630249</v>
      </c>
      <c r="P189" s="25">
        <v>8605718</v>
      </c>
      <c r="Q189" s="27">
        <v>0.112179468</v>
      </c>
      <c r="R189" s="25" t="s">
        <v>64</v>
      </c>
      <c r="S189" s="28">
        <v>2001</v>
      </c>
      <c r="T189" s="39">
        <v>2.209035440208833</v>
      </c>
      <c r="U189" s="26" t="s">
        <v>520</v>
      </c>
      <c r="V189" s="26" t="s">
        <v>1160</v>
      </c>
      <c r="W189" s="26">
        <v>272000</v>
      </c>
      <c r="X189" s="16" t="s">
        <v>101</v>
      </c>
      <c r="Y189" s="26">
        <v>27.200000000000003</v>
      </c>
      <c r="Z189" s="26" t="s">
        <v>67</v>
      </c>
      <c r="AA189" s="26">
        <v>1581384.3388666401</v>
      </c>
      <c r="AB189" s="29" t="s">
        <v>68</v>
      </c>
      <c r="AC189" s="29" t="s">
        <v>1149</v>
      </c>
      <c r="AD189" s="39">
        <v>1</v>
      </c>
      <c r="AE189" s="26">
        <v>4</v>
      </c>
      <c r="AF189" s="29" t="s">
        <v>1151</v>
      </c>
      <c r="AG189" s="25">
        <v>243653.22347859849</v>
      </c>
      <c r="AH189" s="25" t="s">
        <v>754</v>
      </c>
      <c r="AI189" s="25" t="s">
        <v>69</v>
      </c>
      <c r="AJ189" s="25" t="s">
        <v>754</v>
      </c>
      <c r="AK189" s="17" t="s">
        <v>755</v>
      </c>
      <c r="AL189" s="27">
        <f t="shared" si="47"/>
        <v>0.50637451341901374</v>
      </c>
      <c r="AM189" s="27">
        <f t="shared" si="48"/>
        <v>5.4345705007021534</v>
      </c>
      <c r="AN189" s="27">
        <f t="shared" si="49"/>
        <v>1.4502491083193612</v>
      </c>
      <c r="AO189" s="27">
        <f t="shared" si="50"/>
        <v>6.1990377081058279</v>
      </c>
      <c r="AP189" s="27">
        <f t="shared" si="51"/>
        <v>0.18342489128926692</v>
      </c>
      <c r="AQ189" s="27">
        <f t="shared" si="52"/>
        <v>0.66476453174591132</v>
      </c>
      <c r="AR189" s="27">
        <f t="shared" si="53"/>
        <v>0.3484701380768605</v>
      </c>
      <c r="AS189" s="27">
        <f t="shared" si="54"/>
        <v>0.79735895771793075</v>
      </c>
      <c r="AT189" s="27">
        <f t="shared" si="46"/>
        <v>49.9</v>
      </c>
      <c r="AU189" s="27" t="b">
        <f t="shared" si="45"/>
        <v>0</v>
      </c>
      <c r="AV189" s="11"/>
    </row>
    <row r="190" spans="1:48" s="30" customFormat="1">
      <c r="A190" s="25" t="s">
        <v>818</v>
      </c>
      <c r="B190" s="26" t="s">
        <v>766</v>
      </c>
      <c r="C190" s="26" t="s">
        <v>767</v>
      </c>
      <c r="D190" s="26" t="s">
        <v>820</v>
      </c>
      <c r="E190" s="25" t="s">
        <v>760</v>
      </c>
      <c r="F190" s="25">
        <v>710</v>
      </c>
      <c r="G190" s="25" t="s">
        <v>125</v>
      </c>
      <c r="H190" s="25" t="s">
        <v>761</v>
      </c>
      <c r="I190" s="50">
        <v>-26.120061270000001</v>
      </c>
      <c r="J190" s="50">
        <v>27.786166210000001</v>
      </c>
      <c r="K190" s="25" t="s">
        <v>62</v>
      </c>
      <c r="L190" s="16" t="s">
        <v>101</v>
      </c>
      <c r="M190" s="25" t="s">
        <v>60</v>
      </c>
      <c r="N190" s="26" t="s">
        <v>61</v>
      </c>
      <c r="O190" s="25">
        <v>12666.60742</v>
      </c>
      <c r="P190" s="25">
        <v>59893885</v>
      </c>
      <c r="Q190" s="27">
        <v>0.356803906</v>
      </c>
      <c r="R190" s="25" t="s">
        <v>64</v>
      </c>
      <c r="S190" s="28">
        <v>1980</v>
      </c>
      <c r="T190" s="39">
        <v>16.009925733501742</v>
      </c>
      <c r="U190" s="26" t="s">
        <v>66</v>
      </c>
      <c r="V190" s="26" t="s">
        <v>1160</v>
      </c>
      <c r="W190" s="26">
        <v>182500</v>
      </c>
      <c r="X190" s="16" t="s">
        <v>769</v>
      </c>
      <c r="Y190" s="26">
        <v>150</v>
      </c>
      <c r="Z190" s="26" t="s">
        <v>101</v>
      </c>
      <c r="AA190" s="26">
        <v>624190.31496611505</v>
      </c>
      <c r="AB190" s="29" t="s">
        <v>68</v>
      </c>
      <c r="AC190" s="29" t="s">
        <v>1149</v>
      </c>
      <c r="AD190" s="39">
        <v>1</v>
      </c>
      <c r="AE190" s="26">
        <v>17</v>
      </c>
      <c r="AF190" s="29" t="s">
        <v>1151</v>
      </c>
      <c r="AG190" s="25">
        <v>143691.01014273989</v>
      </c>
      <c r="AH190" s="25" t="s">
        <v>770</v>
      </c>
      <c r="AI190" s="25" t="s">
        <v>69</v>
      </c>
      <c r="AJ190" s="25" t="s">
        <v>770</v>
      </c>
      <c r="AK190" s="17" t="s">
        <v>771</v>
      </c>
      <c r="AL190" s="27">
        <f t="shared" si="47"/>
        <v>1.2307024174573196</v>
      </c>
      <c r="AM190" s="27">
        <f t="shared" si="48"/>
        <v>5.2612652484817648</v>
      </c>
      <c r="AN190" s="27">
        <f t="shared" si="49"/>
        <v>2.1789769472931693</v>
      </c>
      <c r="AO190" s="27">
        <f t="shared" si="50"/>
        <v>5.7953177215729346</v>
      </c>
      <c r="AP190" s="27">
        <f t="shared" si="51"/>
        <v>0.45789161045353532</v>
      </c>
      <c r="AQ190" s="27">
        <f t="shared" si="52"/>
        <v>0.6096733004429703</v>
      </c>
      <c r="AR190" s="27">
        <f t="shared" si="53"/>
        <v>0.53467650961677071</v>
      </c>
      <c r="AS190" s="27">
        <f t="shared" si="54"/>
        <v>0.69543423128836546</v>
      </c>
      <c r="AT190" s="27">
        <f t="shared" si="46"/>
        <v>57.4</v>
      </c>
      <c r="AU190" s="27" t="b">
        <f t="shared" si="45"/>
        <v>0</v>
      </c>
      <c r="AV190" s="11"/>
    </row>
    <row r="191" spans="1:48" s="30" customFormat="1">
      <c r="A191" s="25" t="s">
        <v>824</v>
      </c>
      <c r="B191" s="26" t="s">
        <v>773</v>
      </c>
      <c r="C191" s="26" t="s">
        <v>774</v>
      </c>
      <c r="D191" s="26" t="s">
        <v>820</v>
      </c>
      <c r="E191" s="25" t="s">
        <v>760</v>
      </c>
      <c r="F191" s="25">
        <v>710</v>
      </c>
      <c r="G191" s="25" t="s">
        <v>125</v>
      </c>
      <c r="H191" s="25" t="s">
        <v>761</v>
      </c>
      <c r="I191" s="50">
        <v>-29.60642374</v>
      </c>
      <c r="J191" s="50">
        <v>30.41980126</v>
      </c>
      <c r="K191" s="25" t="s">
        <v>62</v>
      </c>
      <c r="L191" s="16" t="s">
        <v>101</v>
      </c>
      <c r="M191" s="25" t="s">
        <v>60</v>
      </c>
      <c r="N191" s="26" t="s">
        <v>61</v>
      </c>
      <c r="O191" s="25">
        <v>12666.60742</v>
      </c>
      <c r="P191" s="25">
        <v>59893885</v>
      </c>
      <c r="Q191" s="27">
        <v>0.356803906</v>
      </c>
      <c r="R191" s="25" t="s">
        <v>64</v>
      </c>
      <c r="S191" s="28">
        <v>1988</v>
      </c>
      <c r="T191" s="39">
        <v>12.42458396899467</v>
      </c>
      <c r="U191" s="26" t="s">
        <v>66</v>
      </c>
      <c r="V191" s="26" t="s">
        <v>1160</v>
      </c>
      <c r="W191" s="26">
        <v>140000</v>
      </c>
      <c r="X191" s="16" t="s">
        <v>101</v>
      </c>
      <c r="Y191" s="26">
        <v>300</v>
      </c>
      <c r="Z191" s="26" t="s">
        <v>101</v>
      </c>
      <c r="AA191" s="26">
        <v>359669.69326725701</v>
      </c>
      <c r="AB191" s="29" t="s">
        <v>68</v>
      </c>
      <c r="AC191" s="29" t="s">
        <v>1149</v>
      </c>
      <c r="AD191" s="39">
        <v>1</v>
      </c>
      <c r="AE191" s="26">
        <v>6</v>
      </c>
      <c r="AF191" s="29" t="s">
        <v>1151</v>
      </c>
      <c r="AG191" s="25">
        <v>110228.72010949912</v>
      </c>
      <c r="AH191" s="25" t="s">
        <v>776</v>
      </c>
      <c r="AI191" s="25" t="s">
        <v>69</v>
      </c>
      <c r="AJ191" s="25" t="s">
        <v>776</v>
      </c>
      <c r="AK191" s="17" t="s">
        <v>777</v>
      </c>
      <c r="AL191" s="27">
        <f t="shared" si="47"/>
        <v>1.1279008356922975</v>
      </c>
      <c r="AM191" s="27">
        <f t="shared" si="48"/>
        <v>5.1461311377706016</v>
      </c>
      <c r="AN191" s="27">
        <f t="shared" si="49"/>
        <v>2.4785664955938436</v>
      </c>
      <c r="AO191" s="27">
        <f t="shared" si="50"/>
        <v>5.5559050520224558</v>
      </c>
      <c r="AP191" s="27">
        <f t="shared" si="51"/>
        <v>0.418937412065438</v>
      </c>
      <c r="AQ191" s="27">
        <f t="shared" si="52"/>
        <v>0.57307383307090831</v>
      </c>
      <c r="AR191" s="27">
        <f t="shared" si="53"/>
        <v>0.61122838503147447</v>
      </c>
      <c r="AS191" s="27">
        <f t="shared" si="54"/>
        <v>0.63499117258010829</v>
      </c>
      <c r="AT191" s="27">
        <f t="shared" si="46"/>
        <v>56</v>
      </c>
      <c r="AU191" s="27" t="b">
        <f t="shared" si="45"/>
        <v>0</v>
      </c>
      <c r="AV191" s="11"/>
    </row>
    <row r="192" spans="1:48" s="30" customFormat="1">
      <c r="A192" s="25" t="s">
        <v>827</v>
      </c>
      <c r="B192" s="26" t="s">
        <v>757</v>
      </c>
      <c r="C192" s="26" t="s">
        <v>758</v>
      </c>
      <c r="D192" s="26" t="s">
        <v>820</v>
      </c>
      <c r="E192" s="25" t="s">
        <v>760</v>
      </c>
      <c r="F192" s="25">
        <v>710</v>
      </c>
      <c r="G192" s="25" t="s">
        <v>125</v>
      </c>
      <c r="H192" s="25" t="s">
        <v>761</v>
      </c>
      <c r="I192" s="50">
        <v>-34.013324879999999</v>
      </c>
      <c r="J192" s="50">
        <v>25.572206950000002</v>
      </c>
      <c r="K192" s="25" t="s">
        <v>62</v>
      </c>
      <c r="L192" s="16" t="s">
        <v>101</v>
      </c>
      <c r="M192" s="25" t="s">
        <v>60</v>
      </c>
      <c r="N192" s="26" t="s">
        <v>61</v>
      </c>
      <c r="O192" s="25">
        <v>12666.60742</v>
      </c>
      <c r="P192" s="25">
        <v>59893885</v>
      </c>
      <c r="Q192" s="27">
        <v>0.356803906</v>
      </c>
      <c r="R192" s="25" t="s">
        <v>64</v>
      </c>
      <c r="S192" s="28">
        <v>1984</v>
      </c>
      <c r="T192" s="39">
        <v>33.655591602216745</v>
      </c>
      <c r="U192" s="26" t="s">
        <v>520</v>
      </c>
      <c r="V192" s="26" t="s">
        <v>1160</v>
      </c>
      <c r="W192" s="26">
        <v>228441</v>
      </c>
      <c r="X192" s="16" t="s">
        <v>762</v>
      </c>
      <c r="Y192" s="26">
        <v>300</v>
      </c>
      <c r="Z192" s="26" t="s">
        <v>101</v>
      </c>
      <c r="AA192" s="26">
        <v>207454.66787125799</v>
      </c>
      <c r="AB192" s="29" t="s">
        <v>68</v>
      </c>
      <c r="AC192" s="29" t="s">
        <v>1149</v>
      </c>
      <c r="AD192" s="39">
        <v>1.02597402597402</v>
      </c>
      <c r="AE192" s="26">
        <v>77</v>
      </c>
      <c r="AF192" s="29" t="s">
        <v>1152</v>
      </c>
      <c r="AG192" s="25">
        <v>179862.56464667202</v>
      </c>
      <c r="AH192" s="25" t="s">
        <v>763</v>
      </c>
      <c r="AI192" s="25" t="s">
        <v>69</v>
      </c>
      <c r="AJ192" s="25" t="s">
        <v>763</v>
      </c>
      <c r="AK192" s="17" t="s">
        <v>764</v>
      </c>
      <c r="AL192" s="27">
        <f t="shared" si="47"/>
        <v>1.5397733170450427</v>
      </c>
      <c r="AM192" s="27">
        <f t="shared" si="48"/>
        <v>5.3587759537391078</v>
      </c>
      <c r="AN192" s="27">
        <f t="shared" si="49"/>
        <v>2.4785664955938436</v>
      </c>
      <c r="AO192" s="27">
        <f t="shared" si="50"/>
        <v>5.316925304634192</v>
      </c>
      <c r="AP192" s="27">
        <f t="shared" si="51"/>
        <v>0.57500662883960763</v>
      </c>
      <c r="AQ192" s="27">
        <f t="shared" si="52"/>
        <v>0.64067054229813203</v>
      </c>
      <c r="AR192" s="27">
        <f t="shared" si="53"/>
        <v>0.61122838503147447</v>
      </c>
      <c r="AS192" s="27">
        <f t="shared" si="54"/>
        <v>0.57465741109374002</v>
      </c>
      <c r="AT192" s="27">
        <f t="shared" si="46"/>
        <v>60</v>
      </c>
      <c r="AU192" s="27" t="b">
        <f t="shared" si="45"/>
        <v>0</v>
      </c>
      <c r="AV192" s="11"/>
    </row>
    <row r="193" spans="1:48" s="30" customFormat="1">
      <c r="A193" s="25" t="s">
        <v>853</v>
      </c>
      <c r="B193" s="26" t="s">
        <v>779</v>
      </c>
      <c r="C193" s="26" t="s">
        <v>780</v>
      </c>
      <c r="D193" s="26" t="s">
        <v>849</v>
      </c>
      <c r="E193" s="25" t="s">
        <v>850</v>
      </c>
      <c r="F193" s="25">
        <v>728</v>
      </c>
      <c r="G193" s="25" t="s">
        <v>125</v>
      </c>
      <c r="H193" s="25" t="s">
        <v>155</v>
      </c>
      <c r="I193" s="50">
        <v>4.8274998289999997</v>
      </c>
      <c r="J193" s="50">
        <v>31.505698599999999</v>
      </c>
      <c r="K193" s="25" t="s">
        <v>62</v>
      </c>
      <c r="L193" s="16" t="s">
        <v>101</v>
      </c>
      <c r="M193" s="25" t="s">
        <v>163</v>
      </c>
      <c r="N193" s="26" t="s">
        <v>61</v>
      </c>
      <c r="O193" s="25">
        <v>4191.8232420000004</v>
      </c>
      <c r="P193" s="25">
        <v>46874204</v>
      </c>
      <c r="Q193" s="27">
        <v>7.3258780999999995E-2</v>
      </c>
      <c r="R193" s="25" t="s">
        <v>64</v>
      </c>
      <c r="S193" s="28">
        <v>2008</v>
      </c>
      <c r="T193" s="39">
        <v>15.763225932932212</v>
      </c>
      <c r="U193" s="26" t="s">
        <v>839</v>
      </c>
      <c r="V193" s="26" t="s">
        <v>1160</v>
      </c>
      <c r="W193" s="26">
        <v>182500</v>
      </c>
      <c r="X193" s="16" t="s">
        <v>781</v>
      </c>
      <c r="Y193" s="26">
        <v>100</v>
      </c>
      <c r="Z193" s="26" t="s">
        <v>101</v>
      </c>
      <c r="AA193" s="26">
        <v>274167.98762587103</v>
      </c>
      <c r="AB193" s="29" t="s">
        <v>68</v>
      </c>
      <c r="AC193" s="29" t="s">
        <v>1149</v>
      </c>
      <c r="AD193" s="39">
        <v>0.54545454545454497</v>
      </c>
      <c r="AE193" s="26">
        <v>11</v>
      </c>
      <c r="AF193" s="29" t="s">
        <v>1151</v>
      </c>
      <c r="AG193" s="25">
        <v>174310.81819156013</v>
      </c>
      <c r="AH193" s="25" t="s">
        <v>782</v>
      </c>
      <c r="AI193" s="25" t="s">
        <v>69</v>
      </c>
      <c r="AJ193" s="25" t="s">
        <v>782</v>
      </c>
      <c r="AK193" s="17" t="s">
        <v>783</v>
      </c>
      <c r="AL193" s="27">
        <f t="shared" si="47"/>
        <v>1.2243575984265591</v>
      </c>
      <c r="AM193" s="27">
        <f t="shared" si="48"/>
        <v>5.2612652484817648</v>
      </c>
      <c r="AN193" s="27">
        <f t="shared" si="49"/>
        <v>2.0043213737826426</v>
      </c>
      <c r="AO193" s="27">
        <f t="shared" si="50"/>
        <v>5.4380183284087638</v>
      </c>
      <c r="AP193" s="27">
        <f t="shared" si="51"/>
        <v>0.45548739317382697</v>
      </c>
      <c r="AQ193" s="27">
        <f t="shared" si="52"/>
        <v>0.6096733004429703</v>
      </c>
      <c r="AR193" s="27">
        <f t="shared" si="53"/>
        <v>0.49004807788509086</v>
      </c>
      <c r="AS193" s="27">
        <f t="shared" si="54"/>
        <v>0.60522902937488365</v>
      </c>
      <c r="AT193" s="27">
        <f t="shared" si="46"/>
        <v>54</v>
      </c>
      <c r="AU193" s="27" t="b">
        <f t="shared" si="45"/>
        <v>0</v>
      </c>
      <c r="AV193" s="11"/>
    </row>
    <row r="194" spans="1:48" s="30" customFormat="1">
      <c r="A194" s="25" t="s">
        <v>778</v>
      </c>
      <c r="B194" s="26" t="s">
        <v>819</v>
      </c>
      <c r="C194" s="26" t="s">
        <v>1083</v>
      </c>
      <c r="D194" s="26" t="s">
        <v>851</v>
      </c>
      <c r="E194" s="25" t="s">
        <v>816</v>
      </c>
      <c r="F194" s="25">
        <v>834</v>
      </c>
      <c r="G194" s="25" t="s">
        <v>125</v>
      </c>
      <c r="H194" s="25" t="s">
        <v>137</v>
      </c>
      <c r="I194" s="50">
        <f>-6.92723</f>
        <v>-6.9272299999999998</v>
      </c>
      <c r="J194" s="50">
        <v>39.129443999999999</v>
      </c>
      <c r="K194" s="25" t="s">
        <v>62</v>
      </c>
      <c r="L194" s="16" t="s">
        <v>101</v>
      </c>
      <c r="M194" s="25" t="s">
        <v>88</v>
      </c>
      <c r="N194" s="26" t="s">
        <v>61</v>
      </c>
      <c r="O194" s="25">
        <v>2128.5539549999999</v>
      </c>
      <c r="P194" s="25">
        <v>65497748</v>
      </c>
      <c r="Q194" s="27">
        <v>0.18900628999999999</v>
      </c>
      <c r="R194" s="25" t="s">
        <v>64</v>
      </c>
      <c r="S194" s="28">
        <v>2009</v>
      </c>
      <c r="T194" s="39">
        <v>9.9906937972508612</v>
      </c>
      <c r="U194" s="26" t="s">
        <v>838</v>
      </c>
      <c r="V194" s="26" t="s">
        <v>1160</v>
      </c>
      <c r="W194" s="26">
        <v>547500</v>
      </c>
      <c r="X194" s="16" t="s">
        <v>821</v>
      </c>
      <c r="Y194" s="26">
        <v>3000</v>
      </c>
      <c r="Z194" s="26" t="s">
        <v>101</v>
      </c>
      <c r="AA194" s="26">
        <v>862237.94944837305</v>
      </c>
      <c r="AB194" s="29" t="s">
        <v>68</v>
      </c>
      <c r="AC194" s="29" t="s">
        <v>1149</v>
      </c>
      <c r="AD194" s="39">
        <v>0.90909090909090895</v>
      </c>
      <c r="AE194" s="26">
        <v>11</v>
      </c>
      <c r="AF194" s="29" t="s">
        <v>1151</v>
      </c>
      <c r="AG194" s="25">
        <v>524980.25202835014</v>
      </c>
      <c r="AH194" s="25" t="s">
        <v>822</v>
      </c>
      <c r="AI194" s="25" t="s">
        <v>69</v>
      </c>
      <c r="AJ194" s="25" t="s">
        <v>822</v>
      </c>
      <c r="AK194" s="17" t="s">
        <v>823</v>
      </c>
      <c r="AL194" s="27">
        <f t="shared" si="47"/>
        <v>1.0410251085114892</v>
      </c>
      <c r="AM194" s="27">
        <f t="shared" si="48"/>
        <v>5.738384916743362</v>
      </c>
      <c r="AN194" s="27">
        <f t="shared" si="49"/>
        <v>3.4772659954248528</v>
      </c>
      <c r="AO194" s="27">
        <f t="shared" si="50"/>
        <v>5.9356276371080314</v>
      </c>
      <c r="AP194" s="27">
        <f t="shared" si="51"/>
        <v>0.38601793501452281</v>
      </c>
      <c r="AQ194" s="27">
        <f t="shared" si="52"/>
        <v>0.76134273726970825</v>
      </c>
      <c r="AR194" s="27">
        <f t="shared" si="53"/>
        <v>0.86641859484166872</v>
      </c>
      <c r="AS194" s="27">
        <f t="shared" si="54"/>
        <v>0.73085742120543185</v>
      </c>
      <c r="AT194" s="27">
        <f t="shared" si="46"/>
        <v>68.599999999999994</v>
      </c>
      <c r="AU194" s="27" t="b">
        <f t="shared" si="45"/>
        <v>0</v>
      </c>
      <c r="AV194" s="11"/>
    </row>
    <row r="195" spans="1:48" s="30" customFormat="1">
      <c r="A195" s="25" t="s">
        <v>784</v>
      </c>
      <c r="B195" s="26" t="s">
        <v>1085</v>
      </c>
      <c r="C195" s="26" t="s">
        <v>1083</v>
      </c>
      <c r="D195" s="26" t="s">
        <v>851</v>
      </c>
      <c r="E195" s="25" t="s">
        <v>816</v>
      </c>
      <c r="F195" s="25">
        <v>834</v>
      </c>
      <c r="G195" s="25" t="s">
        <v>125</v>
      </c>
      <c r="H195" s="25" t="s">
        <v>137</v>
      </c>
      <c r="I195" s="50">
        <v>-6.916666666666667</v>
      </c>
      <c r="J195" s="50">
        <v>39.238611111111112</v>
      </c>
      <c r="K195" s="25" t="s">
        <v>62</v>
      </c>
      <c r="L195" s="16" t="s">
        <v>73</v>
      </c>
      <c r="M195" s="25" t="s">
        <v>88</v>
      </c>
      <c r="N195" s="26" t="s">
        <v>61</v>
      </c>
      <c r="O195" s="25">
        <v>2128.5539549999999</v>
      </c>
      <c r="P195" s="25">
        <v>65497748</v>
      </c>
      <c r="Q195" s="27">
        <v>0.18900628999999999</v>
      </c>
      <c r="R195" s="25" t="s">
        <v>64</v>
      </c>
      <c r="S195" s="28" t="s">
        <v>65</v>
      </c>
      <c r="T195" s="39">
        <v>0.94350754849188956</v>
      </c>
      <c r="U195" s="26" t="s">
        <v>66</v>
      </c>
      <c r="V195" s="26" t="s">
        <v>1160</v>
      </c>
      <c r="W195" s="26">
        <v>555173.56547057652</v>
      </c>
      <c r="X195" s="16" t="s">
        <v>67</v>
      </c>
      <c r="Y195" s="26">
        <v>55.517356547057652</v>
      </c>
      <c r="Z195" s="26" t="s">
        <v>67</v>
      </c>
      <c r="AA195" s="26">
        <v>3167454.1176501201</v>
      </c>
      <c r="AB195" s="29" t="s">
        <v>89</v>
      </c>
      <c r="AC195" s="29" t="s">
        <v>70</v>
      </c>
      <c r="AD195" s="39" t="s">
        <v>70</v>
      </c>
      <c r="AE195" s="29" t="s">
        <v>70</v>
      </c>
      <c r="AF195" s="29" t="s">
        <v>70</v>
      </c>
      <c r="AG195" s="25">
        <v>532338.18871273263</v>
      </c>
      <c r="AH195" s="25" t="s">
        <v>822</v>
      </c>
      <c r="AI195" s="25" t="s">
        <v>69</v>
      </c>
      <c r="AJ195" s="25" t="s">
        <v>65</v>
      </c>
      <c r="AK195" s="17" t="s">
        <v>823</v>
      </c>
      <c r="AL195" s="27">
        <f t="shared" si="47"/>
        <v>0.28858623174989806</v>
      </c>
      <c r="AM195" s="27">
        <f t="shared" si="48"/>
        <v>5.7444295613214296</v>
      </c>
      <c r="AN195" s="27">
        <f t="shared" si="49"/>
        <v>1.7521818406522138</v>
      </c>
      <c r="AO195" s="27">
        <f t="shared" si="50"/>
        <v>6.5007104697133364</v>
      </c>
      <c r="AP195" s="27">
        <f t="shared" si="51"/>
        <v>0.10089923570029691</v>
      </c>
      <c r="AQ195" s="27">
        <f t="shared" si="52"/>
        <v>0.76326424229236556</v>
      </c>
      <c r="AR195" s="27">
        <f t="shared" si="53"/>
        <v>0.42562074977299491</v>
      </c>
      <c r="AS195" s="27">
        <f t="shared" si="54"/>
        <v>0.87352044271686957</v>
      </c>
      <c r="AT195" s="27">
        <f t="shared" si="46"/>
        <v>54.1</v>
      </c>
      <c r="AU195" s="27" t="b">
        <f t="shared" si="45"/>
        <v>0</v>
      </c>
      <c r="AV195" s="11"/>
    </row>
    <row r="196" spans="1:48" s="30" customFormat="1">
      <c r="A196" s="25" t="s">
        <v>786</v>
      </c>
      <c r="B196" s="26" t="s">
        <v>1084</v>
      </c>
      <c r="C196" s="26" t="s">
        <v>1083</v>
      </c>
      <c r="D196" s="26" t="s">
        <v>851</v>
      </c>
      <c r="E196" s="25" t="s">
        <v>816</v>
      </c>
      <c r="F196" s="25">
        <v>834</v>
      </c>
      <c r="G196" s="25" t="s">
        <v>125</v>
      </c>
      <c r="H196" s="25" t="s">
        <v>137</v>
      </c>
      <c r="I196" s="50">
        <v>-6.8386111111111108</v>
      </c>
      <c r="J196" s="50">
        <v>39.313888888888883</v>
      </c>
      <c r="K196" s="25" t="s">
        <v>62</v>
      </c>
      <c r="L196" s="16" t="s">
        <v>73</v>
      </c>
      <c r="M196" s="25" t="s">
        <v>88</v>
      </c>
      <c r="N196" s="26" t="s">
        <v>61</v>
      </c>
      <c r="O196" s="25">
        <v>2128.5539549999999</v>
      </c>
      <c r="P196" s="25">
        <v>65497748</v>
      </c>
      <c r="Q196" s="27">
        <v>0.18900628999999999</v>
      </c>
      <c r="R196" s="25" t="s">
        <v>64</v>
      </c>
      <c r="S196" s="28" t="s">
        <v>65</v>
      </c>
      <c r="T196" s="39">
        <v>7.6825677493166529</v>
      </c>
      <c r="U196" s="26" t="s">
        <v>66</v>
      </c>
      <c r="V196" s="26" t="s">
        <v>1160</v>
      </c>
      <c r="W196" s="26">
        <v>612729.97525129688</v>
      </c>
      <c r="X196" s="16" t="s">
        <v>67</v>
      </c>
      <c r="Y196" s="26">
        <v>61.272997525129689</v>
      </c>
      <c r="Z196" s="26" t="s">
        <v>67</v>
      </c>
      <c r="AA196" s="26">
        <v>3016884.7024738402</v>
      </c>
      <c r="AB196" s="29" t="s">
        <v>89</v>
      </c>
      <c r="AC196" s="29" t="s">
        <v>70</v>
      </c>
      <c r="AD196" s="39" t="s">
        <v>70</v>
      </c>
      <c r="AE196" s="29" t="s">
        <v>70</v>
      </c>
      <c r="AF196" s="29" t="s">
        <v>70</v>
      </c>
      <c r="AG196" s="25">
        <v>587527.19056210155</v>
      </c>
      <c r="AH196" s="25" t="s">
        <v>822</v>
      </c>
      <c r="AI196" s="25" t="s">
        <v>69</v>
      </c>
      <c r="AJ196" s="25" t="s">
        <v>65</v>
      </c>
      <c r="AK196" s="17" t="s">
        <v>823</v>
      </c>
      <c r="AL196" s="27">
        <f t="shared" ref="AL196:AL203" si="55">LOG10(T196 + 1)</f>
        <v>0.93864818075787415</v>
      </c>
      <c r="AM196" s="27">
        <f t="shared" ref="AM196:AM203" si="56">LOG10(W196 + 1)</f>
        <v>5.7872698356782584</v>
      </c>
      <c r="AN196" s="27">
        <f t="shared" ref="AN196:AN203" si="57">LOG10(Y196+ 1)</f>
        <v>1.7942997710898159</v>
      </c>
      <c r="AO196" s="27">
        <f t="shared" ref="AO196:AO203" si="58">LOG10(AA196+ 1)</f>
        <v>6.4795588568355118</v>
      </c>
      <c r="AP196" s="27">
        <f t="shared" ref="AP196:AP203" si="59">IF(ISBLANK(T196),$AP$2, MIN(1, MAX(0, (AL196 - $AL$1) / ($AL$2 - $AL$1))))</f>
        <v>0.34722464909802991</v>
      </c>
      <c r="AQ196" s="27">
        <f t="shared" ref="AQ196:AQ203" si="60">IF(ISBLANK(W196), $AQ$2, MIN(1, MAX(0, (AM196 - $AM$1) / ($AM$2 - $AM$1))))</f>
        <v>0.77688254545072677</v>
      </c>
      <c r="AR196" s="27">
        <f t="shared" ref="AR196:AR203" si="61">IF(ISBLANK(Y196), $AR$2, MIN(1, MAX(0, (AN196 - $AN$1) / ($AN$2 - $AN$1))))</f>
        <v>0.43638282936446515</v>
      </c>
      <c r="AS196" s="27">
        <f t="shared" ref="AS196:AS203" si="62">IF(ISBLANK(AA196), $AS$2, MIN(1, MAX(0, (AO196 - $AO$1) / ($AO$2 - $AO$1))))</f>
        <v>0.86818042382250982</v>
      </c>
      <c r="AT196" s="27">
        <f t="shared" si="46"/>
        <v>60.7</v>
      </c>
      <c r="AU196" s="27" t="b">
        <f t="shared" ref="AU196:AU205" si="63">OR(ISBLANK(T196), ISBLANK(W196), ISBLANK(Y196), ISBLANK(AA196))</f>
        <v>0</v>
      </c>
      <c r="AV196" s="11"/>
    </row>
    <row r="197" spans="1:48" s="30" customFormat="1">
      <c r="A197" s="25" t="s">
        <v>765</v>
      </c>
      <c r="B197" s="26" t="s">
        <v>958</v>
      </c>
      <c r="C197" s="26" t="s">
        <v>959</v>
      </c>
      <c r="D197" s="26" t="s">
        <v>768</v>
      </c>
      <c r="E197" s="25" t="s">
        <v>785</v>
      </c>
      <c r="F197" s="25">
        <v>764</v>
      </c>
      <c r="G197" s="25" t="s">
        <v>86</v>
      </c>
      <c r="H197" s="25" t="s">
        <v>315</v>
      </c>
      <c r="I197" s="50">
        <v>13.724759000000001</v>
      </c>
      <c r="J197" s="50">
        <v>100.35786</v>
      </c>
      <c r="K197" s="25" t="s">
        <v>62</v>
      </c>
      <c r="L197" s="16" t="s">
        <v>73</v>
      </c>
      <c r="M197" s="25" t="s">
        <v>60</v>
      </c>
      <c r="N197" s="26" t="s">
        <v>61</v>
      </c>
      <c r="O197" s="25">
        <v>16301.53809</v>
      </c>
      <c r="P197" s="25">
        <v>71697030</v>
      </c>
      <c r="Q197" s="27">
        <v>0.39112007999999998</v>
      </c>
      <c r="R197" s="25" t="s">
        <v>64</v>
      </c>
      <c r="S197" s="28" t="s">
        <v>65</v>
      </c>
      <c r="T197" s="39">
        <v>3.4487297141550344</v>
      </c>
      <c r="U197" s="26" t="s">
        <v>66</v>
      </c>
      <c r="V197" s="26" t="s">
        <v>1160</v>
      </c>
      <c r="W197" s="26">
        <v>688829.66897532309</v>
      </c>
      <c r="X197" s="16" t="s">
        <v>67</v>
      </c>
      <c r="Y197" s="26">
        <v>68.882966897532313</v>
      </c>
      <c r="Z197" s="26" t="s">
        <v>67</v>
      </c>
      <c r="AA197" s="26">
        <v>1647072.4432705201</v>
      </c>
      <c r="AB197" s="29" t="s">
        <v>89</v>
      </c>
      <c r="AC197" s="29" t="s">
        <v>70</v>
      </c>
      <c r="AD197" s="39" t="s">
        <v>70</v>
      </c>
      <c r="AE197" s="29" t="s">
        <v>70</v>
      </c>
      <c r="AF197" s="29" t="s">
        <v>70</v>
      </c>
      <c r="AG197" s="25">
        <v>668462.74526836257</v>
      </c>
      <c r="AH197" s="25" t="s">
        <v>65</v>
      </c>
      <c r="AI197" s="25" t="s">
        <v>69</v>
      </c>
      <c r="AJ197" s="25" t="s">
        <v>65</v>
      </c>
      <c r="AK197" s="17" t="s">
        <v>70</v>
      </c>
      <c r="AL197" s="27">
        <f t="shared" si="55"/>
        <v>0.6482360206689709</v>
      </c>
      <c r="AM197" s="27">
        <f t="shared" si="56"/>
        <v>5.8381124750748565</v>
      </c>
      <c r="AN197" s="27">
        <f t="shared" si="57"/>
        <v>1.8443713347750366</v>
      </c>
      <c r="AO197" s="27">
        <f t="shared" si="58"/>
        <v>6.2167129648625199</v>
      </c>
      <c r="AP197" s="27">
        <f t="shared" si="59"/>
        <v>0.2371799133635438</v>
      </c>
      <c r="AQ197" s="27">
        <f t="shared" si="60"/>
        <v>0.79304468463095235</v>
      </c>
      <c r="AR197" s="27">
        <f t="shared" si="61"/>
        <v>0.44917724134175974</v>
      </c>
      <c r="AS197" s="27">
        <f t="shared" si="62"/>
        <v>0.80182132215267088</v>
      </c>
      <c r="AT197" s="27">
        <f t="shared" ref="AT197:AT205" si="64">ROUND(100 * (AP197 + AQ197 + AR197 + AS197) / 4, 1)</f>
        <v>57</v>
      </c>
      <c r="AU197" s="27" t="b">
        <f t="shared" si="63"/>
        <v>0</v>
      </c>
      <c r="AV197" s="11"/>
    </row>
    <row r="198" spans="1:48" s="30" customFormat="1">
      <c r="A198" s="25" t="s">
        <v>772</v>
      </c>
      <c r="B198" s="26" t="s">
        <v>787</v>
      </c>
      <c r="C198" s="26" t="s">
        <v>788</v>
      </c>
      <c r="D198" s="26" t="s">
        <v>775</v>
      </c>
      <c r="E198" s="25" t="s">
        <v>789</v>
      </c>
      <c r="F198" s="25">
        <v>626</v>
      </c>
      <c r="G198" s="25" t="s">
        <v>86</v>
      </c>
      <c r="H198" s="25" t="s">
        <v>315</v>
      </c>
      <c r="I198" s="50">
        <v>-8.5774690390000004</v>
      </c>
      <c r="J198" s="50">
        <v>125.5002518</v>
      </c>
      <c r="K198" s="25" t="s">
        <v>62</v>
      </c>
      <c r="L198" s="16" t="s">
        <v>101</v>
      </c>
      <c r="M198" s="25" t="s">
        <v>88</v>
      </c>
      <c r="N198" s="26" t="s">
        <v>61</v>
      </c>
      <c r="O198" s="25">
        <v>3344.5737300000001</v>
      </c>
      <c r="P198" s="25">
        <v>1341296</v>
      </c>
      <c r="Q198" s="27">
        <v>5.0347963000000003E-2</v>
      </c>
      <c r="R198" s="25" t="s">
        <v>64</v>
      </c>
      <c r="S198" s="28">
        <v>1982</v>
      </c>
      <c r="T198" s="39">
        <v>11.73110229836516</v>
      </c>
      <c r="U198" s="26" t="s">
        <v>840</v>
      </c>
      <c r="V198" s="26" t="s">
        <v>1160</v>
      </c>
      <c r="W198" s="26">
        <v>70000</v>
      </c>
      <c r="X198" s="16" t="s">
        <v>101</v>
      </c>
      <c r="Y198" s="26">
        <v>100</v>
      </c>
      <c r="Z198" s="26" t="s">
        <v>387</v>
      </c>
      <c r="AA198" s="26">
        <v>263547.81161843101</v>
      </c>
      <c r="AB198" s="29" t="s">
        <v>68</v>
      </c>
      <c r="AC198" s="29" t="s">
        <v>1149</v>
      </c>
      <c r="AD198" s="39">
        <v>0.81967213114754101</v>
      </c>
      <c r="AE198" s="26">
        <v>61</v>
      </c>
      <c r="AF198" s="29" t="s">
        <v>1152</v>
      </c>
      <c r="AG198" s="25">
        <v>67930.279830123953</v>
      </c>
      <c r="AH198" s="25" t="s">
        <v>790</v>
      </c>
      <c r="AI198" s="25" t="s">
        <v>69</v>
      </c>
      <c r="AJ198" s="25" t="s">
        <v>791</v>
      </c>
      <c r="AK198" s="17" t="s">
        <v>792</v>
      </c>
      <c r="AL198" s="27">
        <f t="shared" si="55"/>
        <v>1.1048660078462853</v>
      </c>
      <c r="AM198" s="27">
        <f t="shared" si="56"/>
        <v>4.8451042441768255</v>
      </c>
      <c r="AN198" s="27">
        <f t="shared" si="57"/>
        <v>2.0043213737826426</v>
      </c>
      <c r="AO198" s="27">
        <f t="shared" si="58"/>
        <v>5.4208610622556952</v>
      </c>
      <c r="AP198" s="27">
        <f t="shared" si="59"/>
        <v>0.41020891549619032</v>
      </c>
      <c r="AQ198" s="27">
        <f t="shared" si="60"/>
        <v>0.4773817405872306</v>
      </c>
      <c r="AR198" s="27">
        <f t="shared" si="61"/>
        <v>0.49004807788509086</v>
      </c>
      <c r="AS198" s="27">
        <f t="shared" si="62"/>
        <v>0.60089743887338576</v>
      </c>
      <c r="AT198" s="27">
        <f t="shared" si="64"/>
        <v>49.5</v>
      </c>
      <c r="AU198" s="27" t="b">
        <f t="shared" si="63"/>
        <v>0</v>
      </c>
      <c r="AV198" s="11"/>
    </row>
    <row r="199" spans="1:48" s="30" customFormat="1">
      <c r="A199" s="25" t="s">
        <v>793</v>
      </c>
      <c r="B199" s="26" t="s">
        <v>794</v>
      </c>
      <c r="C199" s="26" t="s">
        <v>795</v>
      </c>
      <c r="D199" s="26" t="s">
        <v>796</v>
      </c>
      <c r="E199" s="25" t="s">
        <v>797</v>
      </c>
      <c r="F199" s="25">
        <v>800</v>
      </c>
      <c r="G199" s="25" t="s">
        <v>125</v>
      </c>
      <c r="H199" s="25" t="s">
        <v>137</v>
      </c>
      <c r="I199" s="50">
        <v>0.41</v>
      </c>
      <c r="J199" s="50">
        <v>32.575277777777778</v>
      </c>
      <c r="K199" s="25" t="s">
        <v>62</v>
      </c>
      <c r="L199" s="16" t="s">
        <v>73</v>
      </c>
      <c r="M199" s="25" t="s">
        <v>163</v>
      </c>
      <c r="N199" s="26" t="s">
        <v>61</v>
      </c>
      <c r="O199" s="25">
        <v>1972.3017580000001</v>
      </c>
      <c r="P199" s="25">
        <v>47249585</v>
      </c>
      <c r="Q199" s="27">
        <v>0.20075000000000001</v>
      </c>
      <c r="R199" s="25" t="s">
        <v>64</v>
      </c>
      <c r="S199" s="28">
        <v>1996</v>
      </c>
      <c r="T199" s="39">
        <v>16.48841359373677</v>
      </c>
      <c r="U199" s="26" t="s">
        <v>66</v>
      </c>
      <c r="V199" s="26" t="s">
        <v>1160</v>
      </c>
      <c r="W199" s="26">
        <v>547500</v>
      </c>
      <c r="X199" s="16" t="s">
        <v>798</v>
      </c>
      <c r="Y199" s="26">
        <v>54.526672942877333</v>
      </c>
      <c r="Z199" s="26" t="s">
        <v>67</v>
      </c>
      <c r="AA199" s="26">
        <v>1700755.5564673699</v>
      </c>
      <c r="AB199" s="29" t="s">
        <v>89</v>
      </c>
      <c r="AC199" s="29" t="s">
        <v>70</v>
      </c>
      <c r="AD199" s="39" t="s">
        <v>70</v>
      </c>
      <c r="AE199" s="29" t="s">
        <v>70</v>
      </c>
      <c r="AF199" s="29" t="s">
        <v>70</v>
      </c>
      <c r="AG199" s="25">
        <v>524980.25202835014</v>
      </c>
      <c r="AH199" s="25" t="s">
        <v>799</v>
      </c>
      <c r="AI199" s="25" t="s">
        <v>69</v>
      </c>
      <c r="AJ199" s="25" t="s">
        <v>799</v>
      </c>
      <c r="AK199" s="17" t="s">
        <v>800</v>
      </c>
      <c r="AL199" s="27">
        <f t="shared" si="55"/>
        <v>1.2427504156116675</v>
      </c>
      <c r="AM199" s="27">
        <f t="shared" si="56"/>
        <v>5.738384916743362</v>
      </c>
      <c r="AN199" s="27">
        <f t="shared" si="57"/>
        <v>1.7445016521176764</v>
      </c>
      <c r="AO199" s="27">
        <f t="shared" si="58"/>
        <v>6.2306421538540429</v>
      </c>
      <c r="AP199" s="27">
        <f t="shared" si="59"/>
        <v>0.46245691093068797</v>
      </c>
      <c r="AQ199" s="27">
        <f t="shared" si="60"/>
        <v>0.76134273726970825</v>
      </c>
      <c r="AR199" s="27">
        <f t="shared" si="61"/>
        <v>0.42365828866848643</v>
      </c>
      <c r="AS199" s="27">
        <f t="shared" si="62"/>
        <v>0.80533793967150902</v>
      </c>
      <c r="AT199" s="27">
        <f t="shared" si="64"/>
        <v>61.3</v>
      </c>
      <c r="AU199" s="27" t="b">
        <f t="shared" si="63"/>
        <v>0</v>
      </c>
      <c r="AV199" s="11"/>
    </row>
    <row r="200" spans="1:48" s="30" customFormat="1">
      <c r="A200" s="25" t="s">
        <v>801</v>
      </c>
      <c r="B200" s="26" t="s">
        <v>810</v>
      </c>
      <c r="C200" s="26" t="s">
        <v>811</v>
      </c>
      <c r="D200" s="26" t="s">
        <v>804</v>
      </c>
      <c r="E200" s="25" t="s">
        <v>805</v>
      </c>
      <c r="F200" s="25">
        <v>804</v>
      </c>
      <c r="G200" s="25" t="s">
        <v>203</v>
      </c>
      <c r="H200" s="25" t="s">
        <v>678</v>
      </c>
      <c r="I200" s="50">
        <v>44.72191754</v>
      </c>
      <c r="J200" s="50">
        <v>34.434864519999998</v>
      </c>
      <c r="K200" s="25" t="s">
        <v>62</v>
      </c>
      <c r="L200" s="16" t="s">
        <v>101</v>
      </c>
      <c r="M200" s="25" t="s">
        <v>88</v>
      </c>
      <c r="N200" s="26" t="s">
        <v>445</v>
      </c>
      <c r="O200" s="25">
        <v>11534.637699999999</v>
      </c>
      <c r="P200" s="25">
        <v>38000000</v>
      </c>
      <c r="Q200" s="27">
        <v>0.33867671500000002</v>
      </c>
      <c r="R200" s="25" t="s">
        <v>64</v>
      </c>
      <c r="S200" s="28">
        <v>1960</v>
      </c>
      <c r="T200" s="39">
        <v>7.9831826081164179</v>
      </c>
      <c r="U200" s="26" t="s">
        <v>66</v>
      </c>
      <c r="V200" s="26" t="s">
        <v>1159</v>
      </c>
      <c r="W200" s="26">
        <v>40000</v>
      </c>
      <c r="X200" s="16" t="s">
        <v>101</v>
      </c>
      <c r="Y200" s="26">
        <v>4</v>
      </c>
      <c r="Z200" s="26" t="s">
        <v>101</v>
      </c>
      <c r="AA200" s="26">
        <v>34944.3589769721</v>
      </c>
      <c r="AB200" s="29" t="s">
        <v>89</v>
      </c>
      <c r="AC200" s="29" t="s">
        <v>70</v>
      </c>
      <c r="AD200" s="39" t="s">
        <v>70</v>
      </c>
      <c r="AE200" s="29" t="s">
        <v>70</v>
      </c>
      <c r="AF200" s="29" t="s">
        <v>70</v>
      </c>
      <c r="AG200" s="25">
        <v>38205.110836506297</v>
      </c>
      <c r="AH200" s="25" t="s">
        <v>812</v>
      </c>
      <c r="AI200" s="25" t="s">
        <v>69</v>
      </c>
      <c r="AJ200" s="25" t="s">
        <v>813</v>
      </c>
      <c r="AK200" s="17" t="s">
        <v>814</v>
      </c>
      <c r="AL200" s="27">
        <f t="shared" si="55"/>
        <v>0.9534302280113538</v>
      </c>
      <c r="AM200" s="27">
        <f t="shared" si="56"/>
        <v>4.6020708485542956</v>
      </c>
      <c r="AN200" s="27">
        <f t="shared" si="57"/>
        <v>0.69897000433601886</v>
      </c>
      <c r="AO200" s="27">
        <f t="shared" si="58"/>
        <v>4.5433895061324172</v>
      </c>
      <c r="AP200" s="27">
        <f t="shared" si="59"/>
        <v>0.35282595202944256</v>
      </c>
      <c r="AQ200" s="27">
        <f t="shared" si="60"/>
        <v>0.40012494172487745</v>
      </c>
      <c r="AR200" s="27">
        <f t="shared" si="61"/>
        <v>0.15650141054273758</v>
      </c>
      <c r="AS200" s="27">
        <f t="shared" si="62"/>
        <v>0.37936753871744389</v>
      </c>
      <c r="AT200" s="27">
        <f t="shared" si="64"/>
        <v>32.200000000000003</v>
      </c>
      <c r="AU200" s="27" t="b">
        <f t="shared" si="63"/>
        <v>0</v>
      </c>
      <c r="AV200" s="11"/>
    </row>
    <row r="201" spans="1:48" s="30" customFormat="1">
      <c r="A201" s="25" t="s">
        <v>809</v>
      </c>
      <c r="B201" s="26" t="s">
        <v>802</v>
      </c>
      <c r="C201" s="26" t="s">
        <v>803</v>
      </c>
      <c r="D201" s="26" t="s">
        <v>804</v>
      </c>
      <c r="E201" s="25" t="s">
        <v>805</v>
      </c>
      <c r="F201" s="25">
        <v>804</v>
      </c>
      <c r="G201" s="25" t="s">
        <v>203</v>
      </c>
      <c r="H201" s="25" t="s">
        <v>678</v>
      </c>
      <c r="I201" s="50">
        <v>44.449406260000003</v>
      </c>
      <c r="J201" s="50">
        <v>34.106669420000003</v>
      </c>
      <c r="K201" s="25" t="s">
        <v>62</v>
      </c>
      <c r="L201" s="16" t="s">
        <v>806</v>
      </c>
      <c r="M201" s="25" t="s">
        <v>88</v>
      </c>
      <c r="N201" s="26" t="s">
        <v>445</v>
      </c>
      <c r="O201" s="25">
        <v>11534.637699999999</v>
      </c>
      <c r="P201" s="25">
        <v>38000000</v>
      </c>
      <c r="Q201" s="27">
        <v>0.33867671500000002</v>
      </c>
      <c r="R201" s="25" t="s">
        <v>64</v>
      </c>
      <c r="S201" s="28">
        <v>1973</v>
      </c>
      <c r="T201" s="39">
        <v>5.9181681536903596</v>
      </c>
      <c r="U201" s="26" t="s">
        <v>66</v>
      </c>
      <c r="V201" s="26" t="s">
        <v>1159</v>
      </c>
      <c r="W201" s="26">
        <v>60000</v>
      </c>
      <c r="X201" s="16" t="s">
        <v>807</v>
      </c>
      <c r="Y201" s="26">
        <v>6</v>
      </c>
      <c r="Z201" s="26" t="s">
        <v>67</v>
      </c>
      <c r="AA201" s="26">
        <v>111895.197947437</v>
      </c>
      <c r="AB201" s="29" t="s">
        <v>89</v>
      </c>
      <c r="AC201" s="29" t="s">
        <v>70</v>
      </c>
      <c r="AD201" s="39" t="s">
        <v>70</v>
      </c>
      <c r="AE201" s="29" t="s">
        <v>70</v>
      </c>
      <c r="AF201" s="29" t="s">
        <v>70</v>
      </c>
      <c r="AG201" s="25">
        <v>57307.666254759519</v>
      </c>
      <c r="AH201" s="25" t="s">
        <v>808</v>
      </c>
      <c r="AI201" s="25" t="s">
        <v>69</v>
      </c>
      <c r="AJ201" s="25" t="s">
        <v>808</v>
      </c>
      <c r="AK201" s="17" t="s">
        <v>807</v>
      </c>
      <c r="AL201" s="27">
        <f t="shared" si="55"/>
        <v>0.83999111381195235</v>
      </c>
      <c r="AM201" s="27">
        <f t="shared" si="56"/>
        <v>4.7781584885646904</v>
      </c>
      <c r="AN201" s="27">
        <f t="shared" si="57"/>
        <v>0.84509804001425681</v>
      </c>
      <c r="AO201" s="27">
        <f t="shared" si="58"/>
        <v>5.0488153301521175</v>
      </c>
      <c r="AP201" s="27">
        <f t="shared" si="59"/>
        <v>0.30984091538288544</v>
      </c>
      <c r="AQ201" s="27">
        <f t="shared" si="60"/>
        <v>0.45610065383465959</v>
      </c>
      <c r="AR201" s="27">
        <f t="shared" si="61"/>
        <v>0.1938404140069338</v>
      </c>
      <c r="AS201" s="27">
        <f t="shared" si="62"/>
        <v>0.50696931856999594</v>
      </c>
      <c r="AT201" s="27">
        <f t="shared" si="64"/>
        <v>36.700000000000003</v>
      </c>
      <c r="AU201" s="27" t="b">
        <f t="shared" si="63"/>
        <v>0</v>
      </c>
      <c r="AV201" s="11"/>
    </row>
    <row r="202" spans="1:48" s="30" customFormat="1">
      <c r="A202" s="25" t="s">
        <v>815</v>
      </c>
      <c r="B202" s="26" t="s">
        <v>1135</v>
      </c>
      <c r="C202" s="26" t="s">
        <v>825</v>
      </c>
      <c r="D202" s="26" t="s">
        <v>852</v>
      </c>
      <c r="E202" s="25" t="s">
        <v>826</v>
      </c>
      <c r="F202" s="25">
        <v>862</v>
      </c>
      <c r="G202" s="25" t="s">
        <v>58</v>
      </c>
      <c r="H202" s="25" t="s">
        <v>59</v>
      </c>
      <c r="I202" s="50">
        <v>10.63527777777778</v>
      </c>
      <c r="J202" s="50">
        <v>-71.616388888888878</v>
      </c>
      <c r="K202" s="25" t="s">
        <v>62</v>
      </c>
      <c r="L202" s="16" t="s">
        <v>73</v>
      </c>
      <c r="M202" s="25" t="s">
        <v>60</v>
      </c>
      <c r="N202" s="26" t="s">
        <v>61</v>
      </c>
      <c r="O202" s="25">
        <v>14269.67383</v>
      </c>
      <c r="P202" s="25">
        <v>28301696</v>
      </c>
      <c r="Q202" s="27">
        <v>0.32713568300000001</v>
      </c>
      <c r="R202" s="25" t="s">
        <v>64</v>
      </c>
      <c r="S202" s="28" t="s">
        <v>65</v>
      </c>
      <c r="T202" s="39">
        <v>5.2711548306955958E-2</v>
      </c>
      <c r="U202" s="26" t="s">
        <v>66</v>
      </c>
      <c r="V202" s="26" t="s">
        <v>1160</v>
      </c>
      <c r="W202" s="26">
        <v>528725.16077581386</v>
      </c>
      <c r="X202" s="16" t="s">
        <v>67</v>
      </c>
      <c r="Y202" s="26">
        <v>52.340162835675272</v>
      </c>
      <c r="Z202" s="26" t="s">
        <v>67</v>
      </c>
      <c r="AA202" s="26">
        <v>1622464.06647404</v>
      </c>
      <c r="AB202" s="29" t="s">
        <v>68</v>
      </c>
      <c r="AC202" s="29" t="s">
        <v>1149</v>
      </c>
      <c r="AD202" s="39">
        <v>1</v>
      </c>
      <c r="AE202" s="26">
        <v>1</v>
      </c>
      <c r="AF202" s="29" t="s">
        <v>1151</v>
      </c>
      <c r="AG202" s="25">
        <v>592029.36469332408</v>
      </c>
      <c r="AH202" s="25" t="s">
        <v>1134</v>
      </c>
      <c r="AI202" s="25" t="s">
        <v>69</v>
      </c>
      <c r="AJ202" s="25" t="s">
        <v>1134</v>
      </c>
      <c r="AK202" s="17" t="s">
        <v>1136</v>
      </c>
      <c r="AL202" s="27">
        <f t="shared" si="55"/>
        <v>2.2309387196944537E-2</v>
      </c>
      <c r="AM202" s="27">
        <f t="shared" si="56"/>
        <v>5.7232307993392837</v>
      </c>
      <c r="AN202" s="27">
        <f t="shared" si="57"/>
        <v>1.727054337160518</v>
      </c>
      <c r="AO202" s="27">
        <f t="shared" si="58"/>
        <v>6.2101753547168528</v>
      </c>
      <c r="AP202" s="27">
        <f t="shared" si="59"/>
        <v>0</v>
      </c>
      <c r="AQ202" s="27">
        <f t="shared" si="60"/>
        <v>0.75652546268394816</v>
      </c>
      <c r="AR202" s="27">
        <f t="shared" si="61"/>
        <v>0.41920010683772035</v>
      </c>
      <c r="AS202" s="27">
        <f t="shared" si="62"/>
        <v>0.80017081153187464</v>
      </c>
      <c r="AT202" s="27">
        <f t="shared" si="64"/>
        <v>49.4</v>
      </c>
      <c r="AU202" s="27" t="b">
        <f t="shared" si="63"/>
        <v>0</v>
      </c>
      <c r="AV202" s="11"/>
    </row>
    <row r="203" spans="1:48" s="30" customFormat="1">
      <c r="A203" s="25" t="s">
        <v>817</v>
      </c>
      <c r="B203" s="26" t="s">
        <v>828</v>
      </c>
      <c r="C203" s="26" t="s">
        <v>829</v>
      </c>
      <c r="D203" s="26" t="s">
        <v>852</v>
      </c>
      <c r="E203" s="25" t="s">
        <v>826</v>
      </c>
      <c r="F203" s="25">
        <v>862</v>
      </c>
      <c r="G203" s="25" t="s">
        <v>58</v>
      </c>
      <c r="H203" s="25" t="s">
        <v>59</v>
      </c>
      <c r="I203" s="50">
        <v>7.6410200000000001</v>
      </c>
      <c r="J203" s="50">
        <v>-72.213210000000004</v>
      </c>
      <c r="K203" s="25" t="s">
        <v>62</v>
      </c>
      <c r="L203" s="16" t="s">
        <v>830</v>
      </c>
      <c r="M203" s="25" t="s">
        <v>60</v>
      </c>
      <c r="N203" s="26" t="s">
        <v>61</v>
      </c>
      <c r="O203" s="25">
        <v>14269.67383</v>
      </c>
      <c r="P203" s="25">
        <v>28301696</v>
      </c>
      <c r="Q203" s="27">
        <v>0.32713568300000001</v>
      </c>
      <c r="R203" s="25" t="s">
        <v>64</v>
      </c>
      <c r="S203" s="28" t="s">
        <v>65</v>
      </c>
      <c r="T203" s="39">
        <v>11.36325092321184</v>
      </c>
      <c r="U203" s="26" t="s">
        <v>66</v>
      </c>
      <c r="V203" s="26" t="s">
        <v>1160</v>
      </c>
      <c r="W203" s="26">
        <v>31395.309912514309</v>
      </c>
      <c r="X203" s="16" t="s">
        <v>79</v>
      </c>
      <c r="Y203" s="26">
        <v>100</v>
      </c>
      <c r="Z203" s="26" t="s">
        <v>67</v>
      </c>
      <c r="AA203" s="26">
        <v>101678.796926756</v>
      </c>
      <c r="AB203" s="29" t="s">
        <v>68</v>
      </c>
      <c r="AC203" s="29" t="s">
        <v>1149</v>
      </c>
      <c r="AD203" s="39">
        <v>0.94736842105263097</v>
      </c>
      <c r="AE203" s="26">
        <v>19</v>
      </c>
      <c r="AF203" s="29" t="s">
        <v>1151</v>
      </c>
      <c r="AG203" s="25">
        <v>35154.266830393899</v>
      </c>
      <c r="AH203" s="25" t="s">
        <v>831</v>
      </c>
      <c r="AI203" s="25" t="s">
        <v>69</v>
      </c>
      <c r="AJ203" s="25" t="s">
        <v>832</v>
      </c>
      <c r="AK203" s="17" t="s">
        <v>833</v>
      </c>
      <c r="AL203" s="27">
        <f t="shared" si="55"/>
        <v>1.0921326837278234</v>
      </c>
      <c r="AM203" s="27">
        <f t="shared" si="56"/>
        <v>4.4968786073468774</v>
      </c>
      <c r="AN203" s="27">
        <f t="shared" si="57"/>
        <v>2.0043213737826426</v>
      </c>
      <c r="AO203" s="27">
        <f t="shared" si="58"/>
        <v>5.0072346701809112</v>
      </c>
      <c r="AP203" s="27">
        <f t="shared" si="59"/>
        <v>0.40538392715131955</v>
      </c>
      <c r="AQ203" s="27">
        <f t="shared" si="60"/>
        <v>0.36668585077186328</v>
      </c>
      <c r="AR203" s="27">
        <f t="shared" si="61"/>
        <v>0.49004807788509086</v>
      </c>
      <c r="AS203" s="27">
        <f t="shared" si="62"/>
        <v>0.49647170256459994</v>
      </c>
      <c r="AT203" s="27">
        <f t="shared" si="64"/>
        <v>44</v>
      </c>
      <c r="AU203" s="27" t="b">
        <f t="shared" si="63"/>
        <v>0</v>
      </c>
      <c r="AV203" s="11"/>
    </row>
    <row r="204" spans="1:48">
      <c r="A204" s="58"/>
      <c r="B204" s="26"/>
      <c r="C204" s="50"/>
      <c r="D204" s="26"/>
      <c r="E204" s="25"/>
      <c r="F204" s="25"/>
      <c r="G204" s="25"/>
      <c r="H204" s="25"/>
      <c r="I204" s="50"/>
      <c r="J204" s="50"/>
      <c r="K204" s="58"/>
      <c r="L204" s="16"/>
      <c r="M204" s="58"/>
      <c r="N204" s="50"/>
      <c r="O204" s="25"/>
      <c r="P204" s="25"/>
      <c r="Q204" s="64"/>
      <c r="R204" s="58"/>
      <c r="S204" s="65"/>
      <c r="T204" s="66"/>
      <c r="U204" s="50"/>
      <c r="V204" s="50"/>
      <c r="W204" s="26"/>
      <c r="X204" s="50"/>
      <c r="Y204" s="67"/>
      <c r="Z204" s="50"/>
      <c r="AA204" s="63"/>
      <c r="AB204" s="68"/>
      <c r="AC204" s="68"/>
      <c r="AD204" s="68"/>
      <c r="AE204" s="68"/>
      <c r="AF204" s="68"/>
      <c r="AG204" s="63"/>
      <c r="AH204" s="58"/>
      <c r="AI204" s="58"/>
      <c r="AJ204" s="58"/>
      <c r="AK204" s="58"/>
      <c r="AL204" s="27"/>
      <c r="AM204" s="27"/>
      <c r="AN204" s="27"/>
      <c r="AO204" s="27"/>
      <c r="AP204" s="27"/>
      <c r="AQ204" s="27"/>
      <c r="AR204" s="27"/>
      <c r="AS204" s="27"/>
      <c r="AT204" s="27">
        <f t="shared" si="64"/>
        <v>0</v>
      </c>
      <c r="AU204" s="27" t="b">
        <f t="shared" si="63"/>
        <v>1</v>
      </c>
    </row>
    <row r="205" spans="1:48">
      <c r="A205" s="58"/>
      <c r="B205" s="50"/>
      <c r="C205" s="50"/>
      <c r="D205" s="26"/>
      <c r="E205" s="25"/>
      <c r="F205" s="25"/>
      <c r="G205" s="25"/>
      <c r="H205" s="58"/>
      <c r="I205" s="50"/>
      <c r="J205" s="50"/>
      <c r="K205" s="58"/>
      <c r="L205" s="69"/>
      <c r="M205" s="58"/>
      <c r="N205" s="50"/>
      <c r="O205" s="25"/>
      <c r="P205" s="25"/>
      <c r="Q205" s="64"/>
      <c r="R205" s="58"/>
      <c r="S205" s="65"/>
      <c r="T205" s="66"/>
      <c r="U205" s="50"/>
      <c r="V205" s="50"/>
      <c r="W205" s="26"/>
      <c r="X205" s="50"/>
      <c r="Y205" s="67"/>
      <c r="Z205" s="50"/>
      <c r="AA205" s="63"/>
      <c r="AB205" s="68"/>
      <c r="AC205" s="68"/>
      <c r="AD205" s="68"/>
      <c r="AE205" s="68"/>
      <c r="AF205" s="68"/>
      <c r="AG205" s="63"/>
      <c r="AH205" s="58"/>
      <c r="AI205" s="58"/>
      <c r="AJ205" s="58"/>
      <c r="AK205" s="58"/>
      <c r="AL205" s="27"/>
      <c r="AM205" s="27"/>
      <c r="AN205" s="27"/>
      <c r="AO205" s="27"/>
      <c r="AP205" s="27"/>
      <c r="AQ205" s="27"/>
      <c r="AR205" s="27"/>
      <c r="AS205" s="27"/>
      <c r="AT205" s="27">
        <f t="shared" si="64"/>
        <v>0</v>
      </c>
      <c r="AU205" s="27" t="b">
        <f t="shared" si="63"/>
        <v>1</v>
      </c>
    </row>
    <row r="206" spans="1:48">
      <c r="A206" s="58"/>
      <c r="B206" s="50"/>
      <c r="C206" s="50"/>
      <c r="D206" s="26"/>
      <c r="E206" s="25"/>
      <c r="F206" s="25"/>
      <c r="G206" s="58"/>
      <c r="H206" s="58"/>
      <c r="I206" s="50"/>
      <c r="J206" s="50"/>
      <c r="K206" s="58"/>
      <c r="L206" s="69"/>
      <c r="M206" s="58"/>
      <c r="N206" s="50"/>
      <c r="O206" s="25"/>
      <c r="P206" s="25"/>
      <c r="Q206" s="64"/>
      <c r="R206" s="58"/>
      <c r="S206" s="65"/>
      <c r="T206" s="65"/>
      <c r="U206" s="50"/>
      <c r="V206" s="50"/>
      <c r="W206" s="26"/>
      <c r="X206" s="50"/>
      <c r="Y206" s="67"/>
      <c r="Z206" s="50"/>
      <c r="AA206" s="63"/>
      <c r="AB206" s="68"/>
      <c r="AC206" s="68"/>
      <c r="AD206" s="68"/>
      <c r="AE206" s="68"/>
      <c r="AF206" s="68"/>
      <c r="AG206" s="63"/>
      <c r="AH206" s="58"/>
      <c r="AI206" s="58"/>
      <c r="AJ206" s="58"/>
      <c r="AK206" s="58"/>
      <c r="AL206" s="58"/>
      <c r="AM206" s="58"/>
      <c r="AN206" s="58"/>
      <c r="AO206" s="58"/>
      <c r="AP206" s="58"/>
      <c r="AQ206" s="58"/>
      <c r="AR206" s="58"/>
      <c r="AS206" s="58"/>
      <c r="AT206" s="58"/>
      <c r="AU206" s="58"/>
    </row>
    <row r="207" spans="1:48">
      <c r="F207" s="25"/>
    </row>
    <row r="208" spans="1:48">
      <c r="F208" s="25"/>
    </row>
  </sheetData>
  <autoFilter ref="A3:AU316" xr:uid="{B218C94D-1135-4C36-A5EC-F57CE12B82FE}">
    <sortState xmlns:xlrd2="http://schemas.microsoft.com/office/spreadsheetml/2017/richdata2" ref="A4:AU203">
      <sortCondition ref="E4:E203"/>
      <sortCondition ref="C4:C203"/>
      <sortCondition ref="B4:B203"/>
    </sortState>
  </autoFilter>
  <hyperlinks>
    <hyperlink ref="X7" r:id="rId1" xr:uid="{0C57D627-BAB3-4C48-82B1-2FCE5258E185}"/>
    <hyperlink ref="X78" r:id="rId2" xr:uid="{B7B48C4B-C02F-4678-9734-761BE4F4469C}"/>
    <hyperlink ref="X17" r:id="rId3" xr:uid="{FB1CB0B9-E445-43FE-9F57-4736845A29BA}"/>
    <hyperlink ref="X28" r:id="rId4" xr:uid="{B713B497-F177-4F5B-8788-EE354C0B3582}"/>
    <hyperlink ref="AK80" r:id="rId5" xr:uid="{147504EE-0904-4850-A819-744C5167BBE9}"/>
    <hyperlink ref="AK34" r:id="rId6" xr:uid="{169A9590-1572-4008-A249-788133DBDEE7}"/>
    <hyperlink ref="AK35" r:id="rId7" xr:uid="{C0E963ED-5F32-46A9-BC65-E4F32829E839}"/>
    <hyperlink ref="AK36" r:id="rId8" xr:uid="{C84C6157-8F38-4002-8590-4BA7A0FCAD21}"/>
    <hyperlink ref="AK102" r:id="rId9" location=":~:text=Nakuru%20County%2D%20KEW%20Technology%20power,All%20Rights%20Reserved." xr:uid="{9A17DAD4-5128-45E6-9488-4512E26749CC}"/>
  </hyperlinks>
  <pageMargins left="0.7" right="0.7" top="0.75" bottom="0.75" header="0.3" footer="0.3"/>
  <pageSetup paperSize="9"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About-General</vt:lpstr>
      <vt:lpstr>GeoWaste 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Amani Maalouf</dc:creator>
  <cp:keywords/>
  <dc:description/>
  <cp:lastModifiedBy>Amani Maalouf</cp:lastModifiedBy>
  <cp:revision/>
  <dcterms:created xsi:type="dcterms:W3CDTF">2015-06-05T18:17:20Z</dcterms:created>
  <dcterms:modified xsi:type="dcterms:W3CDTF">2025-12-18T13:58:10Z</dcterms:modified>
  <cp:category/>
  <cp:contentStatus/>
</cp:coreProperties>
</file>